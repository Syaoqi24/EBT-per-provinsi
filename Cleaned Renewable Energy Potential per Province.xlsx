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s\Alat\VSCode\Py\Projects\excel\"/>
    </mc:Choice>
  </mc:AlternateContent>
  <xr:revisionPtr revIDLastSave="0" documentId="13_ncr:1_{C054B07E-1E40-4909-9C61-72B5C0C083C9}" xr6:coauthVersionLast="47" xr6:coauthVersionMax="47" xr10:uidLastSave="{00000000-0000-0000-0000-000000000000}"/>
  <bookViews>
    <workbookView xWindow="-110" yWindow="-110" windowWidth="19420" windowHeight="11020" firstSheet="5" activeTab="7" xr2:uid="{00000000-000D-0000-FFFF-FFFF00000000}"/>
  </bookViews>
  <sheets>
    <sheet name="data" sheetId="1" r:id="rId1"/>
    <sheet name="OWID (ID)" sheetId="15" r:id="rId2"/>
    <sheet name="province_power_capacity_2025_ra" sheetId="7" r:id="rId3"/>
    <sheet name="province_geothermal_reserves_20" sheetId="5" r:id="rId4"/>
    <sheet name="province_coal_reserves_2025_raw" sheetId="4" r:id="rId5"/>
    <sheet name="pivot and cleaned data" sheetId="12" r:id="rId6"/>
    <sheet name="Final Results" sheetId="13" r:id="rId7"/>
    <sheet name="Dashboard" sheetId="16" r:id="rId8"/>
  </sheets>
  <definedNames>
    <definedName name="_xlchart.v5.0" hidden="1">'Final Results'!$B$1</definedName>
    <definedName name="_xlchart.v5.1" hidden="1">'Final Results'!$B$2:$B$39</definedName>
    <definedName name="_xlchart.v5.10" hidden="1">'Final Results'!$C$1</definedName>
    <definedName name="_xlchart.v5.11" hidden="1">'Final Results'!$C$2:$C$39</definedName>
    <definedName name="_xlchart.v5.12" hidden="1">'Final Results'!$B$1</definedName>
    <definedName name="_xlchart.v5.13" hidden="1">'Final Results'!$B$2:$B$39</definedName>
    <definedName name="_xlchart.v5.14" hidden="1">'Final Results'!$C$1</definedName>
    <definedName name="_xlchart.v5.15" hidden="1">'Final Results'!$C$2:$C$39</definedName>
    <definedName name="_xlchart.v5.16" hidden="1">'Final Results'!$B$1</definedName>
    <definedName name="_xlchart.v5.17" hidden="1">'Final Results'!$B$2:$B$39</definedName>
    <definedName name="_xlchart.v5.18" hidden="1">'Final Results'!$C$1</definedName>
    <definedName name="_xlchart.v5.19" hidden="1">'Final Results'!$C$2:$C$39</definedName>
    <definedName name="_xlchart.v5.2" hidden="1">'Final Results'!$C$1</definedName>
    <definedName name="_xlchart.v5.3" hidden="1">'Final Results'!$C$2:$C$39</definedName>
    <definedName name="_xlchart.v5.4" hidden="1">'Final Results'!$B$1</definedName>
    <definedName name="_xlchart.v5.5" hidden="1">'Final Results'!$B$2:$B$39</definedName>
    <definedName name="_xlchart.v5.6" hidden="1">'Final Results'!$C$1</definedName>
    <definedName name="_xlchart.v5.7" hidden="1">'Final Results'!$C$2:$C$39</definedName>
    <definedName name="_xlchart.v5.8" hidden="1">'Final Results'!$B$1</definedName>
    <definedName name="_xlchart.v5.9" hidden="1">'Final Results'!$B$2:$B$39</definedName>
    <definedName name="ExternalData_1" localSheetId="4" hidden="1">province_coal_reserves_2025_raw!$A$1:$I$27</definedName>
    <definedName name="ExternalData_1" localSheetId="2" hidden="1">province_power_capacity_2025_ra!$A$1:$T$39</definedName>
    <definedName name="ExternalData_2" localSheetId="3" hidden="1">province_geothermal_reserves_20!$A$1:$H$33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39" i="13" l="1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38" i="13"/>
  <c r="D36" i="13"/>
  <c r="E36" i="13"/>
  <c r="F36" i="13"/>
  <c r="G36" i="13"/>
  <c r="H36" i="13"/>
  <c r="I36" i="13"/>
  <c r="J36" i="13"/>
  <c r="K36" i="13"/>
  <c r="L36" i="13"/>
  <c r="M36" i="13"/>
  <c r="N36" i="13"/>
  <c r="O36" i="13"/>
  <c r="P36" i="13"/>
  <c r="Q36" i="13"/>
  <c r="R36" i="13"/>
  <c r="S36" i="13"/>
  <c r="D37" i="13"/>
  <c r="E37" i="13"/>
  <c r="F37" i="13"/>
  <c r="G37" i="13"/>
  <c r="H37" i="13"/>
  <c r="I37" i="13"/>
  <c r="J37" i="13"/>
  <c r="K37" i="13"/>
  <c r="L37" i="13"/>
  <c r="M37" i="13"/>
  <c r="N37" i="13"/>
  <c r="O37" i="13"/>
  <c r="P37" i="13"/>
  <c r="Q37" i="13"/>
  <c r="R37" i="13"/>
  <c r="S37" i="13"/>
  <c r="D38" i="13"/>
  <c r="E38" i="13"/>
  <c r="F38" i="13"/>
  <c r="G38" i="13"/>
  <c r="H38" i="13"/>
  <c r="I38" i="13"/>
  <c r="J38" i="13"/>
  <c r="K38" i="13"/>
  <c r="L38" i="13"/>
  <c r="M38" i="13"/>
  <c r="N38" i="13"/>
  <c r="O38" i="13"/>
  <c r="P38" i="13"/>
  <c r="Q38" i="13"/>
  <c r="R38" i="13"/>
  <c r="S38" i="13"/>
  <c r="D39" i="13"/>
  <c r="E39" i="13"/>
  <c r="F39" i="13"/>
  <c r="G39" i="13"/>
  <c r="H39" i="13"/>
  <c r="I39" i="13"/>
  <c r="J39" i="13"/>
  <c r="K39" i="13"/>
  <c r="L39" i="13"/>
  <c r="M39" i="13"/>
  <c r="N39" i="13"/>
  <c r="O39" i="13"/>
  <c r="P39" i="13"/>
  <c r="Q39" i="13"/>
  <c r="R39" i="13"/>
  <c r="S39" i="13"/>
  <c r="C36" i="13"/>
  <c r="C37" i="13"/>
  <c r="C38" i="13"/>
  <c r="C39" i="13"/>
  <c r="A36" i="13"/>
  <c r="A37" i="13"/>
  <c r="B3" i="13"/>
  <c r="B4" i="13"/>
  <c r="J4" i="13" s="1"/>
  <c r="B5" i="13"/>
  <c r="B6" i="13"/>
  <c r="B7" i="13"/>
  <c r="B8" i="13"/>
  <c r="B9" i="13"/>
  <c r="B10" i="13"/>
  <c r="M10" i="13" s="1"/>
  <c r="B11" i="13"/>
  <c r="B12" i="13"/>
  <c r="B13" i="13"/>
  <c r="B14" i="13"/>
  <c r="B15" i="13"/>
  <c r="B16" i="13"/>
  <c r="B17" i="13"/>
  <c r="B18" i="13"/>
  <c r="F18" i="13" s="1"/>
  <c r="B19" i="13"/>
  <c r="B20" i="13"/>
  <c r="B21" i="13"/>
  <c r="B22" i="13"/>
  <c r="B23" i="13"/>
  <c r="B24" i="13"/>
  <c r="B25" i="13"/>
  <c r="B26" i="13"/>
  <c r="C26" i="13" s="1"/>
  <c r="B27" i="13"/>
  <c r="B28" i="13"/>
  <c r="B29" i="13"/>
  <c r="B30" i="13"/>
  <c r="B31" i="13"/>
  <c r="B32" i="13"/>
  <c r="B33" i="13"/>
  <c r="B34" i="13"/>
  <c r="M34" i="13" s="1"/>
  <c r="B35" i="13"/>
  <c r="G35" i="13" s="1"/>
  <c r="B36" i="13"/>
  <c r="B37" i="13"/>
  <c r="B38" i="13"/>
  <c r="B39" i="13"/>
  <c r="B2" i="13"/>
  <c r="P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J8" i="13"/>
  <c r="L9" i="13"/>
  <c r="F10" i="13"/>
  <c r="J16" i="13"/>
  <c r="L17" i="13"/>
  <c r="L21" i="13"/>
  <c r="K24" i="13"/>
  <c r="L25" i="13"/>
  <c r="M29" i="13"/>
  <c r="K32" i="13"/>
  <c r="M33" i="13"/>
  <c r="O44" i="12"/>
  <c r="O6" i="12"/>
  <c r="O7" i="12"/>
  <c r="O8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5" i="12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G4" i="13"/>
  <c r="H4" i="13"/>
  <c r="I4" i="13"/>
  <c r="O4" i="13"/>
  <c r="P4" i="13"/>
  <c r="Q4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G8" i="13"/>
  <c r="H8" i="13"/>
  <c r="I8" i="13"/>
  <c r="L8" i="13"/>
  <c r="O8" i="13"/>
  <c r="P8" i="13"/>
  <c r="Q8" i="13"/>
  <c r="J9" i="13"/>
  <c r="K9" i="13"/>
  <c r="R9" i="13"/>
  <c r="S9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F14" i="13"/>
  <c r="G14" i="13"/>
  <c r="H14" i="13"/>
  <c r="I14" i="13"/>
  <c r="J14" i="13"/>
  <c r="K14" i="13"/>
  <c r="L14" i="13"/>
  <c r="M14" i="13"/>
  <c r="N14" i="13"/>
  <c r="O14" i="13"/>
  <c r="P14" i="13"/>
  <c r="Q14" i="13"/>
  <c r="R14" i="13"/>
  <c r="S14" i="13"/>
  <c r="F15" i="13"/>
  <c r="G15" i="13"/>
  <c r="H15" i="13"/>
  <c r="I15" i="13"/>
  <c r="J15" i="13"/>
  <c r="K15" i="13"/>
  <c r="L15" i="13"/>
  <c r="M15" i="13"/>
  <c r="N15" i="13"/>
  <c r="O15" i="13"/>
  <c r="P15" i="13"/>
  <c r="Q15" i="13"/>
  <c r="R15" i="13"/>
  <c r="S15" i="13"/>
  <c r="G16" i="13"/>
  <c r="H16" i="13"/>
  <c r="I16" i="13"/>
  <c r="L16" i="13"/>
  <c r="O16" i="13"/>
  <c r="P16" i="13"/>
  <c r="Q16" i="13"/>
  <c r="F17" i="13"/>
  <c r="J17" i="13"/>
  <c r="K17" i="13"/>
  <c r="N17" i="13"/>
  <c r="R17" i="13"/>
  <c r="S17" i="13"/>
  <c r="F19" i="13"/>
  <c r="G19" i="13"/>
  <c r="H19" i="13"/>
  <c r="I19" i="13"/>
  <c r="J19" i="13"/>
  <c r="K19" i="13"/>
  <c r="L19" i="13"/>
  <c r="M19" i="13"/>
  <c r="N19" i="13"/>
  <c r="O19" i="13"/>
  <c r="P19" i="13"/>
  <c r="Q19" i="13"/>
  <c r="R19" i="13"/>
  <c r="S19" i="13"/>
  <c r="F20" i="13"/>
  <c r="G20" i="13"/>
  <c r="H20" i="13"/>
  <c r="I20" i="13"/>
  <c r="J20" i="13"/>
  <c r="K20" i="13"/>
  <c r="L20" i="13"/>
  <c r="M20" i="13"/>
  <c r="N20" i="13"/>
  <c r="O20" i="13"/>
  <c r="P20" i="13"/>
  <c r="Q20" i="13"/>
  <c r="R20" i="13"/>
  <c r="S20" i="13"/>
  <c r="F22" i="13"/>
  <c r="G22" i="13"/>
  <c r="H22" i="13"/>
  <c r="I22" i="13"/>
  <c r="J22" i="13"/>
  <c r="K22" i="13"/>
  <c r="L22" i="13"/>
  <c r="M22" i="13"/>
  <c r="N22" i="13"/>
  <c r="O22" i="13"/>
  <c r="P22" i="13"/>
  <c r="Q22" i="13"/>
  <c r="R22" i="13"/>
  <c r="S22" i="13"/>
  <c r="F23" i="13"/>
  <c r="G23" i="13"/>
  <c r="H23" i="13"/>
  <c r="I23" i="13"/>
  <c r="J23" i="13"/>
  <c r="K23" i="13"/>
  <c r="L23" i="13"/>
  <c r="M23" i="13"/>
  <c r="N23" i="13"/>
  <c r="O23" i="13"/>
  <c r="P23" i="13"/>
  <c r="Q23" i="13"/>
  <c r="R23" i="13"/>
  <c r="S23" i="13"/>
  <c r="G24" i="13"/>
  <c r="H24" i="13"/>
  <c r="I24" i="13"/>
  <c r="J24" i="13"/>
  <c r="L24" i="13"/>
  <c r="O24" i="13"/>
  <c r="P24" i="13"/>
  <c r="Q24" i="13"/>
  <c r="R24" i="13"/>
  <c r="F25" i="13"/>
  <c r="J25" i="13"/>
  <c r="K25" i="13"/>
  <c r="N25" i="13"/>
  <c r="R25" i="13"/>
  <c r="S25" i="13"/>
  <c r="F27" i="13"/>
  <c r="G27" i="13"/>
  <c r="H27" i="13"/>
  <c r="I27" i="13"/>
  <c r="J27" i="13"/>
  <c r="K27" i="13"/>
  <c r="L27" i="13"/>
  <c r="M27" i="13"/>
  <c r="N27" i="13"/>
  <c r="O27" i="13"/>
  <c r="P27" i="13"/>
  <c r="Q27" i="13"/>
  <c r="R27" i="13"/>
  <c r="S27" i="13"/>
  <c r="F28" i="13"/>
  <c r="G28" i="13"/>
  <c r="H28" i="13"/>
  <c r="I28" i="13"/>
  <c r="J28" i="13"/>
  <c r="K28" i="13"/>
  <c r="L28" i="13"/>
  <c r="M28" i="13"/>
  <c r="N28" i="13"/>
  <c r="O28" i="13"/>
  <c r="P28" i="13"/>
  <c r="Q28" i="13"/>
  <c r="R28" i="13"/>
  <c r="S28" i="13"/>
  <c r="F29" i="13"/>
  <c r="I29" i="13"/>
  <c r="J29" i="13"/>
  <c r="K29" i="13"/>
  <c r="L29" i="13"/>
  <c r="N29" i="13"/>
  <c r="Q29" i="13"/>
  <c r="R29" i="13"/>
  <c r="S29" i="13"/>
  <c r="F30" i="13"/>
  <c r="G30" i="13"/>
  <c r="H30" i="13"/>
  <c r="I30" i="13"/>
  <c r="J30" i="13"/>
  <c r="K30" i="13"/>
  <c r="L30" i="13"/>
  <c r="M30" i="13"/>
  <c r="N30" i="13"/>
  <c r="O30" i="13"/>
  <c r="P30" i="13"/>
  <c r="Q30" i="13"/>
  <c r="R30" i="13"/>
  <c r="S30" i="13"/>
  <c r="F31" i="13"/>
  <c r="G31" i="13"/>
  <c r="H31" i="13"/>
  <c r="I31" i="13"/>
  <c r="J31" i="13"/>
  <c r="K31" i="13"/>
  <c r="L31" i="13"/>
  <c r="M31" i="13"/>
  <c r="N31" i="13"/>
  <c r="O31" i="13"/>
  <c r="P31" i="13"/>
  <c r="Q31" i="13"/>
  <c r="R31" i="13"/>
  <c r="S31" i="13"/>
  <c r="G32" i="13"/>
  <c r="H32" i="13"/>
  <c r="I32" i="13"/>
  <c r="J32" i="13"/>
  <c r="L32" i="13"/>
  <c r="O32" i="13"/>
  <c r="P32" i="13"/>
  <c r="Q32" i="13"/>
  <c r="R32" i="13"/>
  <c r="F33" i="13"/>
  <c r="J33" i="13"/>
  <c r="K33" i="13"/>
  <c r="L33" i="13"/>
  <c r="N33" i="13"/>
  <c r="R33" i="13"/>
  <c r="S33" i="13"/>
  <c r="H34" i="13"/>
  <c r="P34" i="13"/>
  <c r="F35" i="13"/>
  <c r="E3" i="13"/>
  <c r="E4" i="13"/>
  <c r="E5" i="13"/>
  <c r="E6" i="13"/>
  <c r="E7" i="13"/>
  <c r="E9" i="13"/>
  <c r="E11" i="13"/>
  <c r="E12" i="13"/>
  <c r="E13" i="13"/>
  <c r="E14" i="13"/>
  <c r="E15" i="13"/>
  <c r="E17" i="13"/>
  <c r="E19" i="13"/>
  <c r="E20" i="13"/>
  <c r="E22" i="13"/>
  <c r="E23" i="13"/>
  <c r="E25" i="13"/>
  <c r="E27" i="13"/>
  <c r="E28" i="13"/>
  <c r="E29" i="13"/>
  <c r="E30" i="13"/>
  <c r="E31" i="13"/>
  <c r="E33" i="13"/>
  <c r="D24" i="13"/>
  <c r="D25" i="13"/>
  <c r="D32" i="13"/>
  <c r="D4" i="13"/>
  <c r="D5" i="13"/>
  <c r="C5" i="13"/>
  <c r="C6" i="13"/>
  <c r="C24" i="13"/>
  <c r="C25" i="13"/>
  <c r="C30" i="13"/>
  <c r="D31" i="13"/>
  <c r="C32" i="13"/>
  <c r="C27" i="13"/>
  <c r="C28" i="13"/>
  <c r="C9" i="13"/>
  <c r="C11" i="13"/>
  <c r="C12" i="13"/>
  <c r="C13" i="13"/>
  <c r="C14" i="13"/>
  <c r="D15" i="13"/>
  <c r="C16" i="13"/>
  <c r="C17" i="13"/>
  <c r="C19" i="13"/>
  <c r="C20" i="13"/>
  <c r="C22" i="13"/>
  <c r="D23" i="13"/>
  <c r="C8" i="13"/>
  <c r="C3" i="13"/>
  <c r="C4" i="13"/>
  <c r="D6" i="13"/>
  <c r="D7" i="13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3" i="1"/>
  <c r="H4" i="1"/>
  <c r="H5" i="1"/>
  <c r="H6" i="1"/>
  <c r="H7" i="1"/>
  <c r="H8" i="1"/>
  <c r="H9" i="1"/>
  <c r="H10" i="1"/>
  <c r="H11" i="1"/>
  <c r="H13" i="1"/>
  <c r="H14" i="1"/>
  <c r="H2" i="1"/>
  <c r="N4" i="13" l="1"/>
  <c r="F4" i="13"/>
  <c r="F26" i="13"/>
  <c r="M26" i="13"/>
  <c r="M18" i="13"/>
  <c r="M4" i="13"/>
  <c r="L4" i="13"/>
  <c r="S4" i="13"/>
  <c r="K4" i="13"/>
  <c r="R4" i="13"/>
  <c r="F34" i="13"/>
  <c r="A2" i="13"/>
  <c r="N35" i="13"/>
  <c r="L35" i="13"/>
  <c r="E35" i="13"/>
  <c r="S35" i="13"/>
  <c r="K35" i="13"/>
  <c r="R35" i="13"/>
  <c r="Q35" i="13"/>
  <c r="I35" i="13"/>
  <c r="C35" i="13"/>
  <c r="M35" i="13"/>
  <c r="J35" i="13"/>
  <c r="P35" i="13"/>
  <c r="H35" i="13"/>
  <c r="O35" i="13"/>
  <c r="D26" i="13"/>
  <c r="L34" i="13"/>
  <c r="L26" i="13"/>
  <c r="L10" i="13"/>
  <c r="S34" i="13"/>
  <c r="K34" i="13"/>
  <c r="Q33" i="13"/>
  <c r="I33" i="13"/>
  <c r="S26" i="13"/>
  <c r="K26" i="13"/>
  <c r="Q25" i="13"/>
  <c r="I25" i="13"/>
  <c r="I17" i="13"/>
  <c r="C21" i="13"/>
  <c r="R21" i="13"/>
  <c r="J21" i="13"/>
  <c r="C18" i="13"/>
  <c r="S18" i="13"/>
  <c r="Q17" i="13"/>
  <c r="C34" i="13"/>
  <c r="C10" i="13"/>
  <c r="R34" i="13"/>
  <c r="J34" i="13"/>
  <c r="P33" i="13"/>
  <c r="H33" i="13"/>
  <c r="N32" i="13"/>
  <c r="F32" i="13"/>
  <c r="P29" i="13"/>
  <c r="H29" i="13"/>
  <c r="R26" i="13"/>
  <c r="J26" i="13"/>
  <c r="P25" i="13"/>
  <c r="H25" i="13"/>
  <c r="N24" i="13"/>
  <c r="F24" i="13"/>
  <c r="P21" i="13"/>
  <c r="H21" i="13"/>
  <c r="R18" i="13"/>
  <c r="J18" i="13"/>
  <c r="P17" i="13"/>
  <c r="H17" i="13"/>
  <c r="N16" i="13"/>
  <c r="F16" i="13"/>
  <c r="R10" i="13"/>
  <c r="J10" i="13"/>
  <c r="P9" i="13"/>
  <c r="H9" i="13"/>
  <c r="N8" i="13"/>
  <c r="F8" i="13"/>
  <c r="S21" i="13"/>
  <c r="K21" i="13"/>
  <c r="E21" i="13"/>
  <c r="L18" i="13"/>
  <c r="Q21" i="13"/>
  <c r="I21" i="13"/>
  <c r="K18" i="13"/>
  <c r="S10" i="13"/>
  <c r="K10" i="13"/>
  <c r="Q9" i="13"/>
  <c r="I9" i="13"/>
  <c r="D18" i="13"/>
  <c r="D10" i="13"/>
  <c r="C33" i="13"/>
  <c r="E34" i="13"/>
  <c r="E26" i="13"/>
  <c r="E18" i="13"/>
  <c r="E10" i="13"/>
  <c r="Q34" i="13"/>
  <c r="I34" i="13"/>
  <c r="O33" i="13"/>
  <c r="G33" i="13"/>
  <c r="M32" i="13"/>
  <c r="O29" i="13"/>
  <c r="G29" i="13"/>
  <c r="Q26" i="13"/>
  <c r="I26" i="13"/>
  <c r="O25" i="13"/>
  <c r="G25" i="13"/>
  <c r="M24" i="13"/>
  <c r="O21" i="13"/>
  <c r="G21" i="13"/>
  <c r="Q18" i="13"/>
  <c r="I18" i="13"/>
  <c r="O17" i="13"/>
  <c r="G17" i="13"/>
  <c r="M16" i="13"/>
  <c r="Q10" i="13"/>
  <c r="I10" i="13"/>
  <c r="O9" i="13"/>
  <c r="G9" i="13"/>
  <c r="M8" i="13"/>
  <c r="P26" i="13"/>
  <c r="H26" i="13"/>
  <c r="N21" i="13"/>
  <c r="F21" i="13"/>
  <c r="P18" i="13"/>
  <c r="H18" i="13"/>
  <c r="P10" i="13"/>
  <c r="H10" i="13"/>
  <c r="N9" i="13"/>
  <c r="F9" i="13"/>
  <c r="C29" i="13"/>
  <c r="E32" i="13"/>
  <c r="E24" i="13"/>
  <c r="E16" i="13"/>
  <c r="E8" i="13"/>
  <c r="O34" i="13"/>
  <c r="G34" i="13"/>
  <c r="S32" i="13"/>
  <c r="O26" i="13"/>
  <c r="G26" i="13"/>
  <c r="M25" i="13"/>
  <c r="S24" i="13"/>
  <c r="M21" i="13"/>
  <c r="O18" i="13"/>
  <c r="G18" i="13"/>
  <c r="M17" i="13"/>
  <c r="S16" i="13"/>
  <c r="K16" i="13"/>
  <c r="O10" i="13"/>
  <c r="G10" i="13"/>
  <c r="M9" i="13"/>
  <c r="S8" i="13"/>
  <c r="K8" i="13"/>
  <c r="N34" i="13"/>
  <c r="N26" i="13"/>
  <c r="N18" i="13"/>
  <c r="R16" i="13"/>
  <c r="N10" i="13"/>
  <c r="R8" i="13"/>
  <c r="I2" i="13"/>
  <c r="J2" i="13"/>
  <c r="S2" i="13"/>
  <c r="E2" i="13"/>
  <c r="L2" i="13"/>
  <c r="M2" i="13"/>
  <c r="Q2" i="13"/>
  <c r="R2" i="13"/>
  <c r="K2" i="13"/>
  <c r="F2" i="13"/>
  <c r="N2" i="13"/>
  <c r="D2" i="13"/>
  <c r="G2" i="13"/>
  <c r="O2" i="13"/>
  <c r="H2" i="13"/>
  <c r="C31" i="13"/>
  <c r="C23" i="13"/>
  <c r="C15" i="13"/>
  <c r="C7" i="13"/>
  <c r="D30" i="13"/>
  <c r="D22" i="13"/>
  <c r="D14" i="13"/>
  <c r="D13" i="13"/>
  <c r="D12" i="13"/>
  <c r="D29" i="13"/>
  <c r="D3" i="13"/>
  <c r="D28" i="13"/>
  <c r="D20" i="13"/>
  <c r="D35" i="13"/>
  <c r="D27" i="13"/>
  <c r="D19" i="13"/>
  <c r="D11" i="13"/>
  <c r="D21" i="13"/>
  <c r="D34" i="13"/>
  <c r="C2" i="13"/>
  <c r="D33" i="13"/>
  <c r="D17" i="13"/>
  <c r="D9" i="13"/>
  <c r="D16" i="13"/>
  <c r="D8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B2288A-D5CE-4EB2-8B69-10C24D0DB87A}" keepAlive="1" name="Query - data" description="Connection to the 'data' query in the workbook." type="5" refreshedVersion="7" background="1" saveData="1">
    <dbPr connection="Provider=Microsoft.Mashup.OleDb.1;Data Source=$Workbook$;Location=data;Extended Properties=&quot;&quot;" command="SELECT * FROM [data]"/>
  </connection>
  <connection id="2" xr16:uid="{E5796A3D-9E30-4FCF-ABB6-5B062C350A30}" keepAlive="1" name="Query - province_coal_reserves_2025_raw" description="Connection to the 'province_coal_reserves_2025_raw' query in the workbook." type="5" refreshedVersion="7" background="1" saveData="1">
    <dbPr connection="Provider=Microsoft.Mashup.OleDb.1;Data Source=$Workbook$;Location=province_coal_reserves_2025_raw;Extended Properties=&quot;&quot;" command="SELECT * FROM [province_coal_reserves_2025_raw]"/>
  </connection>
  <connection id="3" xr16:uid="{F3ED05CA-5A2E-4361-950A-78306917E177}" keepAlive="1" name="Query - province_geothermal_reserves_2025_raw" description="Connection to the 'province_geothermal_reserves_2025_raw' query in the workbook." type="5" refreshedVersion="7" background="1" saveData="1">
    <dbPr connection="Provider=Microsoft.Mashup.OleDb.1;Data Source=$Workbook$;Location=province_geothermal_reserves_2025_raw;Extended Properties=&quot;&quot;" command="SELECT * FROM [province_geothermal_reserves_2025_raw]"/>
  </connection>
  <connection id="4" xr16:uid="{DAEE64FD-62FF-4700-ABC3-179D33903274}" keepAlive="1" name="Query - province_power_capacity_2025_raw" description="Connection to the 'province_power_capacity_2025_raw' query in the workbook." type="5" refreshedVersion="7" background="1" saveData="1">
    <dbPr connection="Provider=Microsoft.Mashup.OleDb.1;Data Source=$Workbook$;Location=province_power_capacity_2025_raw;Extended Properties=&quot;&quot;" command="SELECT * FROM [province_power_capacity_2025_raw]"/>
  </connection>
</connections>
</file>

<file path=xl/sharedStrings.xml><?xml version="1.0" encoding="utf-8"?>
<sst xmlns="http://schemas.openxmlformats.org/spreadsheetml/2006/main" count="1060" uniqueCount="255">
  <si>
    <t>id</t>
  </si>
  <si>
    <t>kode_provinsi</t>
  </si>
  <si>
    <t>nama_provinsi</t>
  </si>
  <si>
    <t>pdrb_per_kapita</t>
  </si>
  <si>
    <t>satuan</t>
  </si>
  <si>
    <t>tahun</t>
  </si>
  <si>
    <t>ACEH</t>
  </si>
  <si>
    <t>RIBU RUPIAH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</si>
  <si>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</si>
  <si>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</si>
  <si>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</si>
  <si>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</si>
  <si>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</si>
  <si>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</si>
  <si>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</si>
  <si>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</si>
  <si>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</si>
  <si>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</si>
  <si>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</si>
  <si>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</si>
  <si>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</si>
  <si>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</si>
  <si>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</si>
  <si>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</si>
  <si>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</si>
  <si>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</si>
  <si>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</si>
  <si>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</si>
  <si>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</si>
  <si>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</si>
  <si>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</si>
  <si>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</si>
  <si>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</si>
  <si>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</si>
  <si>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</si>
  <si>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</si>
  <si>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</si>
  <si>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</si>
  <si>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</si>
  <si>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</si>
  <si>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</si>
  <si>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PAPUA BARAT DAYA</t>
  </si>
  <si>
    <t>PAPUA SELATAN</t>
  </si>
  <si>
    <t>PAPUA TENGAH</t>
  </si>
  <si>
    <t>PAPUA PEGUNUNGAN</t>
  </si>
  <si>
    <t>province_code</t>
  </si>
  <si>
    <t>province</t>
  </si>
  <si>
    <t>exploration_target_mt</t>
  </si>
  <si>
    <t>total_inventory_mt</t>
  </si>
  <si>
    <t>resource_inferred_mt</t>
  </si>
  <si>
    <t>resource_indicated_mt</t>
  </si>
  <si>
    <t>resource_measured_mt</t>
  </si>
  <si>
    <t>resource_total_mt</t>
  </si>
  <si>
    <t>reserve_total_mt</t>
  </si>
  <si>
    <t>Aceh</t>
  </si>
  <si>
    <t>Riau</t>
  </si>
  <si>
    <t>Jambi</t>
  </si>
  <si>
    <t>Bengkulu</t>
  </si>
  <si>
    <t>Lampung</t>
  </si>
  <si>
    <t>Banten</t>
  </si>
  <si>
    <t>West Kalimantan</t>
  </si>
  <si>
    <t>Papua</t>
  </si>
  <si>
    <t>resource_speculative_mw</t>
  </si>
  <si>
    <t>resource_hypothetical_mw</t>
  </si>
  <si>
    <t>resource_possible_mw</t>
  </si>
  <si>
    <t>reserve_probable_mw</t>
  </si>
  <si>
    <t>reserve_proven_mw</t>
  </si>
  <si>
    <t>total_mw</t>
  </si>
  <si>
    <t>Bali</t>
  </si>
  <si>
    <t>Gorontalo</t>
  </si>
  <si>
    <t>Maluku</t>
  </si>
  <si>
    <t>country</t>
  </si>
  <si>
    <t>year</t>
  </si>
  <si>
    <t>iso_code</t>
  </si>
  <si>
    <t>population</t>
  </si>
  <si>
    <t>gdp</t>
  </si>
  <si>
    <t>biofuel_cons_change_pct</t>
  </si>
  <si>
    <t>biofuel_cons_change_twh</t>
  </si>
  <si>
    <t>biofuel_cons_per_capita</t>
  </si>
  <si>
    <t>biofuel_consumption</t>
  </si>
  <si>
    <t>biofuel_elec_per_capita</t>
  </si>
  <si>
    <t>biofuel_electricity</t>
  </si>
  <si>
    <t>biofuel_share_elec</t>
  </si>
  <si>
    <t>biofuel_share_energy</t>
  </si>
  <si>
    <t>carbon_intensity_elec</t>
  </si>
  <si>
    <t>coal_cons_change_pct</t>
  </si>
  <si>
    <t>coal_cons_change_twh</t>
  </si>
  <si>
    <t>coal_cons_per_capita</t>
  </si>
  <si>
    <t>coal_consumption</t>
  </si>
  <si>
    <t>coal_elec_per_capita</t>
  </si>
  <si>
    <t>coal_electricity</t>
  </si>
  <si>
    <t>coal_prod_change_pct</t>
  </si>
  <si>
    <t>coal_prod_change_twh</t>
  </si>
  <si>
    <t>coal_prod_per_capita</t>
  </si>
  <si>
    <t>coal_production</t>
  </si>
  <si>
    <t>coal_share_elec</t>
  </si>
  <si>
    <t>coal_share_energy</t>
  </si>
  <si>
    <t>electricity_demand</t>
  </si>
  <si>
    <t>electricity_demand_per_capita</t>
  </si>
  <si>
    <t>electricity_generation</t>
  </si>
  <si>
    <t>electricity_share_energy</t>
  </si>
  <si>
    <t>energy_cons_change_pct</t>
  </si>
  <si>
    <t>energy_cons_change_twh</t>
  </si>
  <si>
    <t>energy_per_capita</t>
  </si>
  <si>
    <t>energy_per_gdp</t>
  </si>
  <si>
    <t>fossil_cons_change_pct</t>
  </si>
  <si>
    <t>fossil_cons_change_twh</t>
  </si>
  <si>
    <t>fossil_elec_per_capita</t>
  </si>
  <si>
    <t>fossil_electricity</t>
  </si>
  <si>
    <t>fossil_energy_per_capita</t>
  </si>
  <si>
    <t>fossil_fuel_consumption</t>
  </si>
  <si>
    <t>fossil_share_elec</t>
  </si>
  <si>
    <t>fossil_share_energy</t>
  </si>
  <si>
    <t>gas_cons_change_pct</t>
  </si>
  <si>
    <t>gas_cons_change_twh</t>
  </si>
  <si>
    <t>gas_consumption</t>
  </si>
  <si>
    <t>gas_elec_per_capita</t>
  </si>
  <si>
    <t>gas_electricity</t>
  </si>
  <si>
    <t>gas_energy_per_capita</t>
  </si>
  <si>
    <t>gas_prod_change_pct</t>
  </si>
  <si>
    <t>gas_prod_change_twh</t>
  </si>
  <si>
    <t>gas_prod_per_capita</t>
  </si>
  <si>
    <t>gas_production</t>
  </si>
  <si>
    <t>gas_share_elec</t>
  </si>
  <si>
    <t>gas_share_energy</t>
  </si>
  <si>
    <t>greenhouse_gas_emissions</t>
  </si>
  <si>
    <t>hydro_cons_change_pct</t>
  </si>
  <si>
    <t>hydro_cons_change_twh</t>
  </si>
  <si>
    <t>hydro_consumption</t>
  </si>
  <si>
    <t>hydro_elec_per_capita</t>
  </si>
  <si>
    <t>hydro_electricity</t>
  </si>
  <si>
    <t>hydro_energy_per_capita</t>
  </si>
  <si>
    <t>hydro_share_elec</t>
  </si>
  <si>
    <t>hydro_share_energy</t>
  </si>
  <si>
    <t>low_carbon_cons_change_pct</t>
  </si>
  <si>
    <t>low_carbon_cons_change_twh</t>
  </si>
  <si>
    <t>low_carbon_consumption</t>
  </si>
  <si>
    <t>low_carbon_elec_per_capita</t>
  </si>
  <si>
    <t>low_carbon_electricity</t>
  </si>
  <si>
    <t>low_carbon_energy_per_capita</t>
  </si>
  <si>
    <t>low_carbon_share_elec</t>
  </si>
  <si>
    <t>low_carbon_share_energy</t>
  </si>
  <si>
    <t>net_elec_imports</t>
  </si>
  <si>
    <t>net_elec_imports_share_demand</t>
  </si>
  <si>
    <t>nuclear_cons_change_pct</t>
  </si>
  <si>
    <t>nuclear_cons_change_twh</t>
  </si>
  <si>
    <t>nuclear_consumption</t>
  </si>
  <si>
    <t>nuclear_elec_per_capita</t>
  </si>
  <si>
    <t>nuclear_electricity</t>
  </si>
  <si>
    <t>nuclear_energy_per_capita</t>
  </si>
  <si>
    <t>nuclear_share_elec</t>
  </si>
  <si>
    <t>nuclear_share_energy</t>
  </si>
  <si>
    <t>oil_cons_change_pct</t>
  </si>
  <si>
    <t>oil_cons_change_twh</t>
  </si>
  <si>
    <t>oil_consumption</t>
  </si>
  <si>
    <t>oil_elec_per_capita</t>
  </si>
  <si>
    <t>oil_electricity</t>
  </si>
  <si>
    <t>oil_energy_per_capita</t>
  </si>
  <si>
    <t>oil_prod_change_pct</t>
  </si>
  <si>
    <t>oil_prod_change_twh</t>
  </si>
  <si>
    <t>oil_prod_per_capita</t>
  </si>
  <si>
    <t>oil_production</t>
  </si>
  <si>
    <t>oil_share_elec</t>
  </si>
  <si>
    <t>oil_share_energy</t>
  </si>
  <si>
    <t>other_renewable_consumption</t>
  </si>
  <si>
    <t>other_renewable_electricity</t>
  </si>
  <si>
    <t>other_renewable_exc_biofuel_electricity</t>
  </si>
  <si>
    <t>other_renewables_cons_change_pct</t>
  </si>
  <si>
    <t>other_renewables_cons_change_twh</t>
  </si>
  <si>
    <t>other_renewables_elec_per_capita</t>
  </si>
  <si>
    <t>other_renewables_elec_per_capita_exc_biofuel</t>
  </si>
  <si>
    <t>other_renewables_energy_per_capita</t>
  </si>
  <si>
    <t>other_renewables_share_elec</t>
  </si>
  <si>
    <t>other_renewables_share_elec_exc_biofuel</t>
  </si>
  <si>
    <t>other_renewables_share_energy</t>
  </si>
  <si>
    <t>per_capita_electricity</t>
  </si>
  <si>
    <t>primary_energy_consumption</t>
  </si>
  <si>
    <t>renewables_cons_change_pct</t>
  </si>
  <si>
    <t>renewables_cons_change_twh</t>
  </si>
  <si>
    <t>renewables_consumption</t>
  </si>
  <si>
    <t>renewables_elec_per_capita</t>
  </si>
  <si>
    <t>renewables_electricity</t>
  </si>
  <si>
    <t>renewables_energy_per_capita</t>
  </si>
  <si>
    <t>renewables_share_elec</t>
  </si>
  <si>
    <t>renewables_share_energy</t>
  </si>
  <si>
    <t>solar_cons_change_pct</t>
  </si>
  <si>
    <t>solar_cons_change_twh</t>
  </si>
  <si>
    <t>solar_consumption</t>
  </si>
  <si>
    <t>solar_elec_per_capita</t>
  </si>
  <si>
    <t>solar_electricity</t>
  </si>
  <si>
    <t>solar_energy_per_capita</t>
  </si>
  <si>
    <t>solar_share_elec</t>
  </si>
  <si>
    <t>solar_share_energy</t>
  </si>
  <si>
    <t>wind_cons_change_pct</t>
  </si>
  <si>
    <t>wind_cons_change_twh</t>
  </si>
  <si>
    <t>wind_consumption</t>
  </si>
  <si>
    <t>wind_elec_per_capita</t>
  </si>
  <si>
    <t>wind_electricity</t>
  </si>
  <si>
    <t>wind_energy_per_capita</t>
  </si>
  <si>
    <t>wind_share_elec</t>
  </si>
  <si>
    <t>wind_share_energy</t>
  </si>
  <si>
    <t>Indonesia</t>
  </si>
  <si>
    <t>IDN</t>
  </si>
  <si>
    <t>hydro_pp_mw</t>
  </si>
  <si>
    <t>mini_hydro_pp_mw</t>
  </si>
  <si>
    <t>micro_hydro_pp_mw</t>
  </si>
  <si>
    <t>geothermal_pp_mw</t>
  </si>
  <si>
    <t>solar_pp_mw</t>
  </si>
  <si>
    <t>wind_pp_mw</t>
  </si>
  <si>
    <t>biogas_pp_mw</t>
  </si>
  <si>
    <t>biomass_pp_mw</t>
  </si>
  <si>
    <t>biofuel_pp_mw</t>
  </si>
  <si>
    <t>waste_pp_mw</t>
  </si>
  <si>
    <t>diesel_pp_mw</t>
  </si>
  <si>
    <t>steam_pp_mw</t>
  </si>
  <si>
    <t>gas_pp_mw</t>
  </si>
  <si>
    <t>coal_gasification_pp_mw</t>
  </si>
  <si>
    <t>combined_cycle_pp_mw</t>
  </si>
  <si>
    <t>gas_engine_pp_mw</t>
  </si>
  <si>
    <t>other_pp_mw</t>
  </si>
  <si>
    <t>Grand Total</t>
  </si>
  <si>
    <t>Column Labels</t>
  </si>
  <si>
    <t>Sum of pdrb_per_kapita</t>
  </si>
  <si>
    <t>Provinsi</t>
  </si>
  <si>
    <t>Jawa Tengah</t>
  </si>
  <si>
    <t>Kalimantan Tengah</t>
  </si>
  <si>
    <t>Papua Tengah</t>
  </si>
  <si>
    <t>Sulawesi Tengah</t>
  </si>
  <si>
    <t>Jawa Timur</t>
  </si>
  <si>
    <t>Kalimantan Timur</t>
  </si>
  <si>
    <t>Kalimantan Utara</t>
  </si>
  <si>
    <t>Maluku Utara</t>
  </si>
  <si>
    <t>Sumatera Utara</t>
  </si>
  <si>
    <t>Kalimantan Selatan</t>
  </si>
  <si>
    <t>Papua Selatan</t>
  </si>
  <si>
    <t>Sulawesi Selatan</t>
  </si>
  <si>
    <t>Sumatera Selatan</t>
  </si>
  <si>
    <t>Sulawesi Tenggara</t>
  </si>
  <si>
    <t>Papua Barat Daya</t>
  </si>
  <si>
    <t>Papua Barat</t>
  </si>
  <si>
    <t>Sulawesi Barat</t>
  </si>
  <si>
    <t>Sumatera Barat</t>
  </si>
  <si>
    <t>Kepulauan Bangka Belitung</t>
  </si>
  <si>
    <t>Nusa Tenggara Timur</t>
  </si>
  <si>
    <t>Sulawesi Utara</t>
  </si>
  <si>
    <t>Kepulauan Riau</t>
  </si>
  <si>
    <t>DI Yogyakarta</t>
  </si>
  <si>
    <t>Jawa Barat</t>
  </si>
  <si>
    <t>Kalimantan Barat</t>
  </si>
  <si>
    <t>Nusa Tenggara Barat</t>
  </si>
  <si>
    <t>Papua Pegunungan</t>
  </si>
  <si>
    <t>DKI Jakarta</t>
  </si>
  <si>
    <t>pdrb_per_kapita(2025)</t>
  </si>
  <si>
    <t>proper_province</t>
  </si>
  <si>
    <t>Copy of OWID data for Indonesia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</si>
</sst>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2" borderId="0" xfId="0" applyNumberFormat="1" applyFill="1"/>
    <xf numFmtId="0" fontId="2" fillId="3" borderId="2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4" borderId="3" xfId="0" applyFont="1" applyFill="1" applyBorder="1"/>
    <xf numFmtId="0" fontId="4" fillId="4" borderId="4" xfId="0" applyFont="1" applyFill="1" applyBorder="1"/>
    <xf numFmtId="0" fontId="4" fillId="4" borderId="5" xfId="0" applyFont="1" applyFill="1" applyBorder="1"/>
    <xf numFmtId="0" fontId="0" fillId="5" borderId="7" xfId="0" applyFont="1" applyFill="1" applyBorder="1"/>
    <xf numFmtId="0" fontId="0" fillId="5" borderId="8" xfId="0" applyFont="1" applyFill="1" applyBorder="1"/>
    <xf numFmtId="0" fontId="0" fillId="3" borderId="7" xfId="0" applyFont="1" applyFill="1" applyBorder="1"/>
    <xf numFmtId="0" fontId="0" fillId="3" borderId="8" xfId="0" applyFont="1" applyFill="1" applyBorder="1"/>
    <xf numFmtId="0" fontId="0" fillId="5" borderId="6" xfId="0" applyNumberFormat="1" applyFont="1" applyFill="1" applyBorder="1"/>
    <xf numFmtId="0" fontId="0" fillId="5" borderId="7" xfId="0" applyNumberFormat="1" applyFont="1" applyFill="1" applyBorder="1"/>
    <xf numFmtId="0" fontId="0" fillId="3" borderId="6" xfId="0" applyNumberFormat="1" applyFont="1" applyFill="1" applyBorder="1"/>
    <xf numFmtId="0" fontId="0" fillId="3" borderId="7" xfId="0" applyNumberFormat="1" applyFont="1" applyFill="1" applyBorder="1"/>
  </cellXfs>
  <cellStyles count="1">
    <cellStyle name="Normal" xfId="0" builtinId="0"/>
  </cellStyles>
  <dxfs count="10">
    <dxf>
      <numFmt numFmtId="0" formatCode="General"/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</cx:numDim>
    </cx:data>
  </cx:chartData>
  <cx:chart>
    <cx:title pos="t" align="ctr" overlay="0"/>
    <cx:plotArea>
      <cx:plotAreaRegion>
        <cx:series layoutId="regionMap" uniqueId="{B93B08FD-D70E-4F94-9A1A-A6051C9E3908}">
          <cx:tx>
            <cx:txData>
              <cx:f>_xlchart.v5.6</cx:f>
              <cx:v>pdrb_per_kapita(2025)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1H1pc9tG1vVfUfnzC6VXNHpqMlUDcJEsW3YsO47nC0qRFez7jl//HEiiTYKMaHk0b5VUqSQWDPZy
t3PPvd38503/j5v49ro86ZM4rf5x0//6yq/r/B+//FLd+LfJdXWaBDdlVmV/1ac3WfJL9tdfwc3t
L1/L6y5IvV8YoeKXG/+6rG/7V//6Jz7Nu83eZDfXdZClvzW35fDhtmriunrk2cFHJ9dfkyBdBFVd
Bjc1/fXV++u8uT65uo2v6+v01cltWgf18HHIb399tfNXX538Mv/AvcFP8CFB3XzFu4Z5KgmxLIvj
P3c//NVJnKXew3PK9SnHQ6ZNqe9+NmNfXid4/yprav/kbnKbB4cmdTel669fy9uqwtLu/jt7eWcV
s2c3WZPW01562NZfX52nX7P0tgquX50EVebcP3SyaT3ni7sN+GVXEv/65+wX2JLZb7aENd+/Y4/2
ZHVxmzfxdXOdnnwIrpvH9uWJwiKnVApliQdRTPLYlRYRp9IiXElTbYa9l9M0kZPzKr5Ov1abJz8u
qN23Z5K6+GDQVycvTET/vrn1H9uHpwlGnHLTksKyzHsb0dj9LSPS6pQwmJAm6puN3RvwvXCOTeaw
9dy/NRPGv50XKAz7NvWiJn5OS+GnSjNmSU0fJDI3FHbKTMYtJsn9X9gow71EfmRGh6Xy/c2ZZL4/
eGGmctlU1ycfISLvusT/BElTbjbrkAd5muUY1qk04a0sc8diKCOnpsZviXoQ4GbIe/ksr6v6ZGdi
m+eHpnRYUoc+Yyazy48GRzx8YQJbXJyfvL6OAEoQIJ8RKFAlBZGEHwYKxDy1mKKKTju27d2u8tub
4Do+ca7zoMZ/76P4SfbXj0zysOh+4CNnknx9YTD24iT5+rq7PrFhdvVmSw+p9xMtDnKy4BbJN89o
7ZoeUaemIEIxgbC+LcjPtzC619fto1p1WGBbr84FY79EwdjXaX37vDBcCMktwh7C0QxBUFgXBayT
SkNa20I5PpPDEtm8NxOH/fElimOdlVkK35Jt9ua/NxNyqqhlUsXVBkDsYjrK2KmQUlqa6TuHODOW
H5rSYdFsvTqTzvrdS4xHF9dxkMBgkA89f/7KTjVgngmk8PADL78FvSmVpxyoW1FxEOhd3eWv32f4
mAIdltb+J8yEdnH1woX23AEIWSxnwN6bZAkGNpMZPSXatDTnM6O6CyP/jbD2PmAuK/sFpk/PSzKQ
U4nMSEjxXTy70iEUjo9KhfRpYy3fOYbNbw454MP2cz/7mRzuf/nCcPd32gfB1YuA3G5j0Gip99im
PBG8sVNFJAPRIGdCMU+5tBCOzHseb2Y49xMyNhP6eSbobz9oJkD7JRrS6+vkz+AZhUVPTfCmmir2
EJsgle3YRPgpElxlEYHsdxvUHZ3IYVN6eG0mioffvjRj+g4anplyALKzLMEhmA1kgB/bFgs1T5H7
aG2qGYl6xxj8N+Fn7wNmoro4f4lQ4S5LnQii62ekVA11ygmHHMDQ3f/MjIeSU0KEoEoA8W0bj4M/
lOAZfi5T3X17Jp/XLzI7WpyffMm84dkZIQWO1UKBSM4yI0iGw3YInN8hbnVD3nzngX5sdod93uOf
NpPfl3cvMbv97nHuaNhntTJgOa2lxcncuvgp8lrOrDnfsLGP75PaWN+PQ75DnzGT1MWLtLTvm3Ly
qQZt99jWPA34cVSQAPDg7fZjFRFTpjSLVZdZicLs9wk9NpXDlrX/CXMZfXq50eqZqxigTLVSwBQb
SDFnIUAWaSqoqWc50x0i+LlItfXqTDCvz1+im3tzneTPmyyJU2REkgjCHwLRrMhEJKxKMa30fV0W
PnAbSPzAhA5bzrcXZ3J58+8XyC7cN568v/WaFNJ51t4TAZyN7IducMKcB5p6TxSTgvP7mtNMPmeB
508NDT/bfjJ/fyat+eMXlkC9vY6b6HlL6pSiT0jRTeFoVjdi+lQwpLMmn4Wi4zM5bEab92Zyeftv
QyAKvjBx7BSrn72mZyGnvePBN51BczinTqlANQO03V2EmlnSHS26M8ONJ/xxUHfoM2aSu7RfImC4
V8PnBnTobwDoZlRuyulkhuyYOtUgjtgdNN8OS/e4bGMc909+XEy7b88E9PbTSzStKzTbdWgHfHar
mkCbmpjwDX6Y1ykQnzS1tKaH7GkzrZ80pe+vz4R09eElWpENPu+xnXhaOoS2IYZmEwCHjWjmHJ48
pWhy2GeHjs3jcCi6f2smCPvfLxFmH+3VfaIkYCRqym3Uhk6dhR5unRJLoDuSzlKfoxM5LIqH12ay
eP8iQcFVk1zXt+iqe2a2gEH5QRdQ6zBU01NPN2KP2uSrM/d1HyPuJvc4h3FYQrPXZ5K6+vRik6C7
QvjJ4nq4fkZPNtW6kaZqbR3muTlFZY9JrsmsSHQ1tS4g7tU/m//sfcBcUvMBXhjk3kTQ/wVrCiIH
hTtzFnXQtWrhMIXkFOXZbcy2YTw3U9o8/XHctv8Jc2m9yF7VzYY8twcEvAb1g9rrA/ODat4uccoE
7A6nd9BlshHGfRfDxnvdY8rNsx8X1Pz9uZheaKB6gNibPvDH9uWJAIKfSuAHCOpvCn2MniqGUGXO
u4Hu/Nft1Am+0aLHZnU4Vh36jLnE1i8Rb3+DFs/fvSXR5z31oGy47pkTJLA9NIFzYd6z4TNwcccT
/DS22H17Jqndhy8uWj1gwf9JjyRO+DExNULe/cwgOk6N4cSYJemskn5nHDAuTOxncODs9ZmwZk9f
mLTuWfFnb3rgp5YpJkHN2rs42rsUh9mpgza1AQc/mVLNXp8Javb0hQlqExr+B63H6N4SwsQBpXmx
T59qge5xVGU3AekeWmxU/mehxfz9maCuLl9ioLq3pOeOUmwq/XEJZLH52YV/nIO2QBL87YDgrqTu
IslPWtP2uzMJvbdfAr/69xa+TTbv/K2nnjonp0h3US+n30DEjP2m4pRSytHr+kDw7cpn6wT438/p
MOLbenVnCf8fjpX//ZHzb0f0Fzjev7w727916vzxp3fLxLUDs1cf8s9DicvDo/Ovv75CUMHhCPDa
324NmD5mJ3e90+ftFoWd9yb8/esrSqxTi0/drgQ2JVBSf3XSgZqYnkyhC1V2+EqCBybGSqfeFNw9
IHF2g3BBiInKolJo5nt1Uk2kA54pnCYkd+kbAfeBKr717X6F91k8eFn6bVce/nySNsn7LEjr6tdX
SPby+781TdYyTaY4ysiaMCTuljBRusxvrj/gCgf8Zfr/olzkmZ959VnjepUjDBI5ge5+L3lQrQUv
wuXWBh0YDtF6NhwmryRXd4cYLA3l3h7OzIOy7zTDcEZcOH4/VmeCdaYdy4bajw9Fp6bU3cE4ZRhO
KKIsJXFKbHewVpisyZhJz5TLB7aM0i6N7HLw298Zrgr42uuejHbi+VizzNvBtL2mqH7rVRn3TmnE
frzWhWV1tmB1XdhGkoXmwqI1VY40XN99k7lx8TWKiUvwC5owW5myuRlFUVCnUaNQdj8YWWfrpAmS
hVVm0dfYCBS3I7cdWjtXKTMx/lD/JYwm8m2UXCLq9IUXlnZg1gZbeZ7xR25p42ZI3PI3WhTKXWSR
7wnbiCKy4lbWhMtMjmG/NnTiWzZzpb42y8hTjioYS+3ew6Js1y+T31hU1TeRZ5iZTaUrP4KYbqOz
Rkmjw1FE2ctF2NM4Wft5NuqF0Y5uf9YUsaFXvWRjfhaHnXsrU1p/LkMtE5tWRus6fUlIaKdW4t3q
kLHMrpLU/08Q5KX3NvWNsH6dhV5qvfYJVa1Ta+5+4qnbx3ZXxRFx0ihvLhPTcH+vtNmHdtZkVWG3
QSPJUrKwvuU9NxO7y2ouFlJGnl66RdvVq8rkZv1xzJvMPNe0ykx76PIo+EATo7/tksLkC6vqmnRl
ZLGf21q4/E2eFlVqB01WcJumtZXZ3pgkoR2qQl0FZShSW0duGJz1QZgPtrLK2rNHlffXUnX0a1Bb
/MoyMhU7lRG1Z13ihTc8csfKLhuPu3YTCdY6IS2LT8JwO2p7rRFrh5Y5a88SOebnSTowa0FLS914
ZWkVdtpE8ncjbvkXv/GDaFX1EQvXqTLVn0nJur9y7ZVvLSM3FObNNbclGfrGFpE0iyWJeMvPhoG3
H8sxFZGdjrSDGsa65ss+rGVm+7z0+0VqdUmwHMPMDxahYUGL0EHclXZlxUljZzJQb5HWin5hDH39
G4t7L12mVmn9J+dhENlyZDy0o0pY/YINuQgWURrJ3m64hEVVhmw+KjJYxjIqTSi2JkVc2NQMWGxX
USbldRrypFsmOivkX4TEAfkUWTTNbpk2utt0zOUHU4bFrRJW4J+HpGLsPHWbwHOGjgzvCzWW2YV0
82SwY6NTf468i127Mkktl9mYBsXnrCzC+n0kTD/67c6NPEScB5d17zFvsnwo0TrzcCnNtz/+6+3m
ppu7u1G+/3661ub7n97lt+lVXd7e1m+v8/nfnMb79lcx3MP4U0zZ+cNeiPubIHZ/e87fPNyJcDux
fAMWJucPGLHlUfei2xYcuEcS3955iGwCBD0FlIdmSPSaU8Sv+8im0T1GKaEm7mNRBE4YUeAhsiGw
EcWmCz8INwklU9fmJrBRfB6gDx4KBF6cH31SYMPoW84fDh+nhnF8hBG0UaHPzcJatyONLC3hykbL
VZLUtbUwqdf4Nht1F190Oc2TVWX4pL/saBckZ4VPEsOx6tgbna09e9Ce7fhKyYF5IG3V4FQ5QZI6
m4evSNjnbiNWLY8VW/tR1qWXxGyj3tZBQf4a0iQo7MKt45uRa0xIDkG2IHHhXz0+k91Ijw1B2JU4
NzAxhtgZC7nZ9ob0zNNV0VdixYrsxsB565tYRt0XI63pstFhf2The/s/RfkJQRHTmkDMhAS2gIXL
LKOuo16s/FqxyyhU4sJnxRjYHfH5pUH6VjtRZIx/qpTKM1O41r3h3t9fdGDnJyjxHdncr1eh+5cK
HCCX6L7anUDF/NgsRCdWoor1SsdN/EF4VbJ+fFcPjoJOCHSK4xztXRfy9jIVTxtr6Ch2NS6zz5kZ
u0svrsO3j4+yC5vu1mLiuAezOMNukulcwfYoGZTX87qCr7Kuql53pBqchsSm0/d1cwQ27S/IREOU
ibVIiXti1ExNKh0OY6YFW3V1HF3IsjIvgpAEH5+6IOzVxKsBcU4nJSar2dKOtKO5bkujXXUqrJdm
RtTr2hCt7TZR/OXxofYWpDkFvNaKcxP/mLOhCs+LjFhWxioaEuWQLEoc0ufqyLbtSUhDNKaJ4rIG
9QGd310QH/UgZabcVTUERrYs/SIK7LGyMt8ZAot+feqaJAo0jFPTxNUjmk1r3to+Lwws3ZrUXYVN
KnynLbysc3hX15+ePg6uNlGA0ei2gkHvjtP2ZWY2Temucu0nv1kkBrgQEfn8340y27tSycITeeWu
GqNozrNIDqu2CJMnSghxAEmAwNUFFk6KCj4bpfBDzlrkACuV5MNbr41apxlF+rvnl/n54wuaKwOG
mg4kgDm2cFsIsabnW+IJUy+JwrLuVpWLrKD3kOvYJWnIH8qCvziyLj73tNNogiIPVBARSq8zZUgS
Vfs+qftVOvKAryo/C13bV9K9ADxs0t+FWZJwMf1LvA4T32UXosple9l0cZk43G/oBJXHjtiBS5re
Dqsx/yxE27SOGeZp8zuumsuKq8qKtG+rOlKNndCoGGwhu3xcchXnv2WJEViLUui8Pq8LFXyhLK26
tagFsZymbMp+1SUjTS+CPNfueUIqcz36UjfrHMg6Oe9Mo246O2pJWZwNLEp/Z6Qt35i0TGs7rrnR
Xzwuonk0xNFSihiHkyP4wQUIM22gRoxF+Ua3GlQc2P3YX4ZD/tVNxr+UT/7z+Fj76oCBOG4oQbsc
AfM2s6KmcVnoJaRbJW7I7aLnfCGKwFr1YVwfUYbpo7aD3nRPCurviBTAGhID7mreYFh+6jHRraKC
GhdtjW1222JcpWlpvCe5lV0YOAD64cnrA9pDZOKM44KcCdNtqzuO4BR95lfDyowMsgy8JmttIlzk
3U2e+EdWeGAz4c7vKqK4CYETtjtY5VWpjy3uV0PSN07vdv35tA82b0Jr8eR14QYNgntM4NWn4D4b
KmLU9ApvWA2G9tdhnkRfzK5Pzrq44kdUZFK3mdw4Li/E5Q7giRiZByniei1v875fGTLsFnqI9eu8
U+NZkCbsTUaM/rNurCaz2RAaT3ZWjMMryunkrwVcPgOoYZvHykrSflUmIYkWPAvz2LGqYhidVidd
u3zqpsIUpuCP9TJ918O7rSyFpUuWNS1ZpXXOltw3fytHny+SKE2OjDSp3e6e8onRIkB/SEXgjHfF
Z1pBEJmuHleskV+rWrqr2hiiI35kXx0xCBYCd29OGcdMHQH4zVoPGVllQe7bRWnWZ7rxG8cjjXoi
oAUntTPUzLazysy9YEjIKm+psHvLz9e9puaT1QGjAMmgUi21pcwZbAYGSCxSW+NqHJLC5rJu1uBP
clBIZnZk7w4ICBQn/DByRFTFp5vutlWhyo1wpEVAVlRLvkwbc7BzUcgjVrzv6fl0vAznmYCbwQLO
8J8ujRqEgkVWLAzTzG7NjjM7zUnwZ0mHasmH0QiODHlAKaZj8ujbsBgjsKzdhSFymQQMFFlZFfvk
GUF9oWL/P0xV5dOFhRQXiBMXYFHo32wgmQyVF6UNWZlpMHxsB6953Y61vx6UPxyxpgNrApghUA3Y
LLXkzJoE78JoHNmwEl7o6jPPVzlb97IulZ1xDqrwcTcxzXxmvMgZQc6ayEMsXK63u4VJA54tAbMJ
TKh7pyiLL3WXmUdy1AOqsTPI3PUhmgbcGuEhqN9FNugpuij83jGaYfzIyyg9ohf08Ko07kOloPfV
fBPTKh+LUrFxVfKqjG03jbtu6cp27O2C+mbj8CSVljPEDYPt5bge0gmEn0eOUkV85VISXQjQl90S
Nxeb7n8GUeZfnrrvQGS4wAZnA5EB6nnaPnAvsHIAu1UVdv46qPI/TDCwR/Z9fxvw6RMLAWaeMvib
XeGWhpdnoYz6lbBI8Z/EVe5H/Co4MgrfFy98C7AAritDkQV88O4wdBBFRHyvW5Wp5bXLLGCN4URJ
mI2XPWvEaLd+knXrPK+S7CwbcjN70ydt8bYkpcHee1mUx5eJKrVZO43By/bCi7KitI3U1ZXTN96Q
2GYpRbJsiIRu6sTK+/MQEhzOeDqCT69NErB1yWV+FRFRvyOgBmjiGLmvP0ZFBCBg+12c9q/DOhjT
xUiioP3KSjM3LDuJivIGCUbOUQvQpLUBRMIPsvEi9mTLFigoYpfgstCNzmbb5FVDk8VKAOZYIl5y
zw2dJhDaYYIcG2pf8MBiSPrh7qd7FufkQl4oAw6/6FY6S/v1MLRsUchAHoGIe5ybBQBFcIISnkpp
geCyK3iWidDLG96uKhX+mXRj/5V1VbIyPW04wTDmb7xmyN5UdTY6BuvZu5SkRyex7y9xqmxqo0QZ
BbNAlW4nuHWKN5GXF+0q7oPY9kLdfPZb1H5q0w0un2qzoDlBcUqQrtNyZ74yMnWRJFXarkzRNDbJ
AIRHTw9HnNeBBSGWIRTjVAPaeKeWqO1oLXhppGGBBSGbSe0QNYEP44h8hoUFe/34gg4PNXV2K0Ru
1Dh3hyIGKlVeXmGosI0/eHHQ2lMm+4UYXfgzqzIZLvYyTYS3O4+9lapbinZGHuTtqqhQ8czMIfkj
Z1Jemh5NoiN6uZ+cQU6401ejPdrC1QSTdWyNRfrQcrVsMJbWy4AGqyayrnTtvpM+6mYqFu6RAQ/t
4+T4lIVMBcnFbB9HpZpBm9OAGfEWyHjjZUpEf5YiwXryPoJfA1sIghluXbFZKC0CUQwpZe2q9t3Q
tuIitBPpq2WS9+Pqce3Q2KZdaGAx8JNAqaBWcK/u9HxrG3WpGj8verYi1agMu5NlUSx7INXCJk1R
GDZiTsbtkA3B5UBHiznMEuPwREoW7ewMV4rByFHFBsyfzWKshTCYhVnwYqSe7RrjaFtDXZ/7qmuP
bO6kGPMVg07HTQowcED6meKYfezVXUr4StVYTcJjahPDj5aP7+u+tli41QQlm4lCgG+eaUtaxXFl
BDlb6aH8qJu4PPNTcCNKam/9+EiH1qPF5ElAxknY3a4EB1n7ednXbIV6c/M+NivpeLEVHNGTA6Pg
FnNUnyQTKAdNV4lt6wlNuWXIoDRWgvHU8XLJ1hNT/OSsTOMUCrYMndrIoOUs1gQq46PRVd4ahR7U
UhniP7M9lP2zI5u2Lx7NTSBiqBy+XAOk9u5yZJLryJeev67SLHhtliJcNvjXhTm65hG/se+oMBTy
ChTOcI0USLLdoURUcHcwRm/Ni5QJJx8aoAOjisFd4usz6O9NR5tgPYjk6CL3ZTYV/6aojUPbKHfM
QpnRR64WZhCsQ2C20PbTIuiRrA3ZU3UD5B9oPyggRAbmarbCyEeIi8aErbLK6JfDSKStXKs9gkD3
VoOADEaW4VZPYCUQcrv72LLWDVQFBiLtTcupRdc7HXLuI2n0nj9EIReYHRfy4rsWcK3rzJoAKbUf
pqRfVVVUt/gahJpaNmrjJHW6JGyjcxCO2ritmUhNJ48ZOm16qUc/fKrWTH1pd+gA/bgcReHZavO6
dNsoxjxE8gZlXrnopPk21vR9l8bNwtRVdmTEA/sr4LKIKbQlJqw1GxEZfz2YIBB4bxXrdrC6Vd1z
780TvZWJKIMbqEHPTSahZqOYaUtTk6TmukkKskhVAYvouvSIRk67s+PjMQqUBFaHheAgwSyeBFmb
14ke5TpvBt8uA0s5HSu/pnFmLB5fz6GRcFfFRPKA4QEe39019MZQtKGgFq0S9tUEJvmcKXyZTDh6
1hHNnHZmvib4d3Rm4V/IKGceuDD8kukq5ms/E8SO+yxY9FKh/paEw1ViSPOCk6F40+fZk9kK7Ca+
42IisUAsqTlGyJsqbPss42tWmTESG886a4ckXTRh7R7ZzmkRe4tEPw7w3LREOVtkb7GRNwRD+R2N
3g66I06GmtIn3yji1+bYRjePi29P6ZH0gdOk2FKEHVPOxFePXSpCWfC1xY16YbZVsuS9zI64rjty
e7YsOGAwDKidoop/11y3hbIqr29dxsHx1K5Rho6ZR4osB6toSrtNk4Gj3QrtXXYX5zpeEa+Ql6Mc
is9jILLkXCUJs2x42DFwKFoBbrKuSNDNI0iW2T2LZPNOxlV7rOfggGZPEAbucGqqxD28u5otudsK
lGHZ2kj6ep27sb/0XeJdSHQuPdX1QAp8usiPIJdFrJxJfdAhFHDs2No1mhjdBUN9ZhoROX9c1ocW
BPoQHDacAtpEZ+BCoWWPUasQIGJoajdeou1UgjgK2iA8+4mhJvcGq2GUzb1chYw4CWgu1rpl6SLm
UW6nATfWne6emq5i66ZvNpGI5BJ1o9mi/LYse5clYh1n5vi6EIFwopgmR3DZoa1DAxJYAABA4ObZ
KGGU+PCyBl+LoWvtqFMWWud8d6H92Dji5u74hLmtAJxP111IRPx59WaomqrTVSjWYWbWq64z9bIe
B7oUHq2WjPbphRHx7I1ZjeHHMCuHd7nfZQtlwO0ZXI42EjPxdK8E8h6BGHsMiDNdBboNfi1DD54L
mLVGu3DwTsje/BIbRX+GMOM56WjUR4LkAS84FQuw0egonm482B0vZTEtIi+Qaxpp4qAb8bJRxqIJ
aLYIg+Dr47p6yAXiUjnID4w+mlVmLlA3ujFaw5NrHzUxFNl9/qEOtXtkSYc0SE/YDTkR7lOdW0QQ
denogURcB7JMLttRVoscrO2Z0Xr0yFAHFoQvZQLKoLh8AP83C/6eTtt8aDGUimtznRgxdCfl5pEM
Yg/Wo+katT5QRcTUEkqxKyORh7E0eniTNFLlIlNdvxR+kHwceZKdZ77IL0IzO1bvO4ABpjrIVGQH
AEaWtDuoDHHPWVZG5rqPxjBfhE2T/9lgKpVNur4sz8PYilo0SjP3mqhw/PK4phyQIVIyHKkAaYVu
w6lHcdsMMtlbYZ8IYDdWg2nP/fwKzcZi7Su/WD4+1PRRMyeAC1+nXhkJF4BuoN2h+qwc0f2AhUKa
llxWxZiYTlSjHH+RoVWHTa3ForfLkDXvLdFV/brI28hbPT6Lg9ttQVuRcSC/sabnW2Hbz9KszgZq
rs0hjyI7jN0mXkTx6L8l1O0yu1RF8wEgPV+oPuVHBj+02xAnvsNgqmSD4dodHE2MRWioXK3bmlXr
qsy7M2KY5srg47GDBIcsZnuomS5XbVuDq6vUuklL0yFjz2zqiWzx+G4eGsUCrcXBHgBGzhPhoBtb
nqIws1ZuOJwJGutzFjLt/MQowBD4wcl85Iq724bzFikasSEznYjhvOLhHxNtdcT4Dy5la5BJdluK
0fFRlUPem2vpc7Eisr8io+UdsYFDHgan+xAFptZbU82iAB/QYyqm3p6oq9/Af7v2EBVvwIr5ttcF
1wL38h1RuUPL0kh/p7um0IU5tzoWWkFZpkjO0AccfAa3H73pUMFKj8C9Q5qNK5WmBlpUDPco9tTw
A3TCxxgmUP1rE1m0XYyusfJJxo6saH+o6b4gYErQPJqIuc55KU/UQKBzaQAwMXX0LhLwVvY4Jl8f
17uDIwGvoBgDOAZSaVcler/u+yQy5DpgXbE0U8NYDLRQi7pIjxUPTHzUrnPEogQahAD9ANDn2UTM
Kc6oIJKvh86sPvWwNccfqbtoGspWrlkH5z+xNIwER4gLFPa6v+OstEaEUjjjiNQfpgrhAo3s3WWL
juAjOr+vgXeVLNxHp9FigGvZd3dRIa1M4iSDaoSxf0aK3HB0nJHF4ws6OIpmoKvQ3UX2LEuNOSmr
EQsKvWg4a0jSvi26Lj5SeNmPYeA4cD+SOaXNQAgz+w1DwquJsV3TkXPb8hVx6s5r12kYdKu4a7nT
9VXpVGXHzjoKsunxRR7SEpRi7jsnwMBNm7DloxSOPPFUdfBRcUedFO2ENqma4q0buMXaGiL3CHDf
D5YaRsYsii+bAJ9PZ8EyK5MsQzIk1xKHs8iqz0gWoyvfi76WLXirBdodrN/QpedeVqg6HPMp+85y
Gh1NbGgzwPH1eRWc4iygpesO5qfl0J5H2iy7874rRLJ2S1/Gi7rR5lc1VEjFHt/nA8o0ld1xzBQJ
Eor9szgdxTg8JZB5rHFCzFpoM8d5oD46Vn8/4F5w/g7cGbKPqc9nWv+WNEUY4eBF7Mt1haVCcdDH
wVJBHZymS48ozqGhOEpCOGsC08A3yu4O1fpZSWLcFbVmYadyW2Vxeq5HPV75Qx4fCaQHx5ogHhjM
qYNhNlYQJUgEy8Rc+y4fndiI4jdBh5CXB/2xwyMHh0JDINpu0E0MDd1dVmrkU290bq6LkvSLTDIk
sgXglQK/cUQlDpnC9N0E4FMBQ3C74+5QpQp1xXgJpFOr4S3zOrZgrsedtrPEJyHS/KxI+GgH+VGf
c0gZwRYDDYCPRA4028+BuC5rB+DmUQRyWWZFsg5NUhxZ36FRgIbR3gi6GN8nONvKOFdJMKDSsabt
2C2LrrIWXRcdK7geHEWDGNLgodC0NIuoyCoav4ilXMdlGLwrhUjeGrTlV083XwnjBXeC0hY6mHdl
1Vm+EHDVYu0ZHo5okC5YmBEpjzjHA8qH08eTOqB0fH9lw7b5pk3OdUZkuGaR8h1kMIGj0HkLFRif
vG0IaYAfuMcI+BcNZjMVQBkVp2J5Fa51hnN9uvPDFU/7Y0TtnnAwihAIcBRgB653NgogPkNAU/4a
Tqk469QQLvRoRUfYrb1twygTEJ1Kqejxmh+z8ipG0lIN/hrAq43tPnbrm67wrAVOPVZPLgxPg+Gk
HJJOBO091qXtogrHrNCoVbhBdpM0E8ve+jhG+7jC7RNc6IzArqEeiOPUSKanwL3lyjPXbHVUR8G6
n1jhT4UVKprbQ1AM4e8GxxHVRWLUYfFXnntK2nTI+tTRsubFssjMvj+To0uMVdi3ZvBukDov/jgy
wcmwdvDldBs69mBCYPga+DnbR7qkjo0Kylr0SbpMeNilt3xQJV9o1be0dPxCtuTTCJMqV3luDOHV
kJKAf6jTvu2clppp7R8JSvvdfjjbP11hCI1GFwZwxO6uFWGoE22FwRqts0G/aOoibm2Rue7wAYSh
ZX4IrKq9Kd1E0s+xEbbFH7lUuXA8FqjgDVo6Q29p+NQ1X48BcOEFVVl+rPF8D/FhjpgZn5oYQNPM
e4eMwmr8TJJg7ZV1lC0D16OtY8k2750UrRvpe5omUtogKoIWrf3YrYXyO6IXRwQ4IctdAUKBp6YY
sOlouJ+DIYYjH0WZtNE6i7K6XKQBtNq2uOvGX1yv6dVH2rOs4zioHoR+bLOUy/g6y0jxZ5GiU5Mu
H5/PHhJFrg82F+4Atw7Byc6AcBQQg0dWFq2ZHHBA3Nc0dcbRpe9o4A1v69rNjyjLvnNC8XaKvEAU
KH3PiSo0fTRWbiH2aUN675KaxjfQ9CfzGVOJGCfU0MgFK0F1bFcj0Q2J+rM/nfG3WG0znaROHpJ6
9fjm3eHmmTAVupzE/3H2bb1x21y0v0iA7pdXacYzYzu247hpmhciSRNeRFLUjZL4689SenBORh54
4K9AC7RBTZPiZe+111p7Fd4C9Ms3wzQC3geD9sUBMSBQRZnybCnb0arFlTHvQnpMlmzKq0SSILkD
FGbkKcZB+TFq4/TjrMLIHZvcFqaiWeZBkhSyUe3CIbLtXnhBjE8/CV/FpY2GrLsWK7w+E6j2Yo1A
6AD8iwz7fJWWbCRpYjp14CltiqoI6MJLqkjiVyQ30JoARM3s3gslbfcQEoVpFURz7F3ZEq9fEuSt
YBah8gMoDwX+81+jAPQcL4hrD2OydMep63+0BRW3EGpdy0Qu7HaQmdaKaQqsGzj++UiDb50Ax78+
SJuqv6D2ZDvjq/qvOlzSnRu1d2WDXNjsq1NeiqwnxpbfAtGuVq3pHK0PwmfsaVhI4vapCJx8/ykG
NrRW7SH9hC5pMy/UnwWdRKIOCXgk+8VPU1YKUS/38EZwX62sr6GSrz8ZPlWC04XIaU2f14n/8U56
Q6RDErvm0I6BfJijxdsnEiUDXfTDu3cHaoLQlUNPhgI7agbnQ01hgU0KR4fDmHK2T5c8gd60SSD0
s0K/NxQEMwHsCqAPUb7aF24CzpZ2luaKNweX675c0pHvhwTKxgGJ5JWH4NIK/jnUejb/WEHleW5J
uhor6HRW6XCay2wKDY6cn1xZwde7HrOCbgInHAE7DHfOh5pnpAtN2jWHOoEXzZjI2zqwHRSOXlDW
dbZcGe71pl+Hg1UCJCiIoVbb1T9nFvcKGE5rmoMYhLsTPRj+yFD7K+Hna+7z+q3+GGZza4wOMcVM
8a3momO7fhLkWz4vdudi2pYSRbkqQsQ2lTQVy21h9fB1UjK/MtdLXxF1ECTHQBmQQ2zmutTB6KHm
iA3j+PgoF7DgF8+3xy4OzJUzfmkoEPjQQgpFB5BPo/NlXVgDoiap16RRPEHw2h2CDjRrO+fFzdvP
2qX9AtIinJqwxMCMNiO1PrJigGby4Nq0LU1O6kq6/tbzQen3ifn37dEuzQtsa2QQKF9jxM0SFgOK
SKlR6uDZJNz5fAmOPnyejoMN2ZUlvLQz/xxqs2XqgWYkbdj63o24+hfQUNXO9lamV+6RSysIGiss
UgE7oTH55s7Kgq4IVU7VAVpf+gKgofs1wJ7jJvT6+S4QNr3yxdZ76TwOiZEegXkHWjLKq9s1dJ6g
kHxgDY30m50Hmvwp06R76guf/kSI5x6j0dpbw4fkCpB6cUlRkQBxA9sPNKvzXTlHXMyjh13ZFWN2
H80chiPzhIH+h0+3uqxANgrONeru5+M47SUsgbPIYWF9VMUZAQ91EMuVdVw3wHYdEZsDKkXqt0qL
zkfpTAMAVmUYBUHzLuqT9GXByX8Ogi4A9NAHd8rkI7+SdV5aQ1CPEKUiBkLdenPeomRJoCRO5SHw
QKHsUMjcd0ihX95/zlCQQKEfOTuC1c3cZB3DF6DG3LSw/bdkkrP8BoMtv3kC2s7r3dujrT9tu5Kg
7gLpiqG3wW1xvpI4AX7LWS4PUxrKv+BKIY91kXQ3hDT936ES4eHt8c6/HGg24GKs2wNPGSrCyTYv
7saWsMDz17oLMz+5SvW96FKzB4Ne3kN3G8AV7d0mb78HhVcTOHFQXqKQcD5JUbDFMw2K7tGYk+OU
NsFB1Y2s7KKvRa7ne+T/zg9RMpBsQFSvbDcAhNkhpg51noDZex0q7zayvn/llK2/8P//av+NAsQ3
wz4B+/p3G68/n25gyKzlNUGB1lJ1Y+dUwstq5De6X+zz2x/s0oRWuhK0j6j+pdtQa66HPjA6Bw4r
evnQRpO5haWbeRffBBNCyQHkWJTZEK2icLXZhq3fyREUde9gpQxvPO6RXZaYa0n0q2Vbe6KBWxzD
Sx70qC0dj+UurIspyA5wWsv+zseC7HibwE4ubsmVfX5pKGwDcNWBgsVQ0Z9vOd/2aPpRNDlgjIl8
D4laROXmgN/WgyPXLqbXg4Hov0ok1pID6AGbSzc3Tlk4+xUHEPHdwaZe/kOFXlOxoYmuuZa82g+r
LB8eBNDvoG6ab4msXQq/vh4CwAN2vxnKuZfiU9MW4sr6XR4GxWZEN2sstQGujckFlThlB6UmVapU
wMePknz/9ua+uHCAwlDSAPqQbPkh3Cu0lgEpDlP8m50+j8tO2GHcGYgd7buej3WPI2/GHQu8A2oC
lJ3Pt0QBTaXfkxxTYq0pgxZuEU1YX7vQLywctKzr0wEe+tqO8XwUFtVgozaUHGwTk3oHd076I0tb
9750b50NPs1vVs0K1r0yiJBz2o5AomDnIXgMPKQnOx0Pw3H26/hdyqbfQ6Eaukoj4BEMsdFmSr40
U0xUXIDAI6Y9ysFLFXACfasP7u/bG+L16qVYtDWsQJEhBFx0vno2m3qI1vviYPoBtV4L1SkNmuxK
NnKO56wTSlGLQSUS4P8qUdvshDbLx65F4HfI+5ySL6Jvcv/RxBH1S0ImyCG4s0btBo/X/4K1PZKd
y0LvGoj+evNDurNCEdiPEKZurU+TpfGiQMzFwZ9x3Ro+xhWBM1Y1CtPdvH9ZgdivJYgY0PMWf9OJ
FrUHvuohUL0/7KFt9xVUIE107fm9MCcUiDAQKqGoEW0RbtIltMv8hhySUfWVzGN9UEZFO5Mu8+7t
OV0YahXAAZ7CIsLDLjzfKj0u9hj1De8QNg4WQW34D2zQ2lJN4hoWfWEkmJPgvQIlBmLGLQuhlnWX
aNPSYz/KAd4UJtu3tc5uJuFd445cGioGwLzKQXGBbIWuFt48GgwYeqzj/p86rydc8MCMcJnF777g
IXLCtIJoxbNf3R/M04uJ+EKPNO76qkvcWMXFdI3/dR7e/j5pqPcjsIDlHqS722dYIM+Z6BTQo2ma
Gw8YYFmw9N9msPd9o82VHXHh8gBEDzAbXJVo3RjnOyKJ9ADN/siOjIx5GU80fc7HubiSs/7ew2fB
H2Jn3E2QIUNQjiRh/YZ/IFJeyPrEazrvAMYEFG+lLWZePwJMbOyTC2PilaPobFp5kxNt2aTCfxbI
+jT8UvMhKd00aHloWGpM5Q9kMN9GqbPg1AcsJ1eCx1fbCQ8EIpI15EcJ/5XuPZiopw2l6hjl099G
i35HtfpHq/Sa0OLV0mPhcadCyI+a29ru6XxNSGM9lIuMPs7QJO4yWNPsYTl7rVrxajeto4AQDZgT
Oxe2hOejdGBBaliA6GMEJRRcOSLTDKWz8DorPeKsvHX4JeMrT9LrNVytuPFQgGW1svA2Wee4cvvS
gOfImETKqxR6nmiHGhxkzDwe6LWr+ndkdba9UO0CngTmN/CJ1yzzYoZ6T6cuO4As4D5wNdPbjgTq
l7/YLN/H8FUby2KwhT6KRrPsWBR89frzPNZDehw313Qgrx5LPE5I2XDzIQzEnbFJDRThuZXgTxwW
Tr4NizuE2rtNKP2HzvU979K/oza7V1F35X7a4Ja4OjAu7gwE8SgbrdYj5x877yNdNJQWWAcTBCDz
ahDQOIF7XO8HRzWy4i4oen4nm3D+CHgx/EJilby8/chkGOT8Y+CXAOAGzGHVEG1BddbYOJ4p3ui8
N5AVhm2Yd/tCqSg5KkkQRuas6Z9qpqb0XYDRf9NfqyHwxcBTgNrI+fSdF7ZZuCzFoQ5ao8rEZKg5
EZfY/2UcXJZImFdgdisWZU3ahGIcikMC557vtHbjR3D+1JUQ8vX9EMH1EBVdVJfBktpyWLXHedBj
bx0ak2X30HE0p1zya6TSi6NA9wrd6crO3tobIFCVeUiRGznEbNEe7u7BtGuCeZLvvhOQ6YHGBnUU
EgkUlM4/zpxQ1ZgZQT6yZl6FgW/uimxsd0K21+DsS3NCngcNAUwUEH1sIuK4qL2Ry5ocINHgX1LV
14ekvsoxvjgKIFFANCAmgCJ7PiHdd0QnCSOHyNbLHtRmH4b84n32Sv/taRSm/t8om2WDxL/tkRCR
w5Rx/ahd0twaBmfZgXvhB2gpsv37Ty/a3iK/hGkUqoqb8cAvK2agQYiwUU0/pS7/VrfQGEIBtfPa
5VY04/uIlL9niPcphjzgPxhlc2nBEytt4PxPDpQt/SH3O7Fjc+E+vj2v108SeI2IsrHLwfdBVHr+
tWRLQHkUhhw8Ap8B3H8FrOeZv8fuSK6Ujy4Ohf6AAGvQm/YVTW4aJoQN0UgOWZ38tejZP7gM3Qjw
/Mjj25O6sAVBX1s5bAF4D1m22YKxVyfwbp7JYe79rhyh1Nv78ZjcvHsUaCrW8DACeJJuMWTZpelC
hfYO8H9u04qklNzHkQPH5e1xLqxbtIYNCOEB1/x2Vv8zSMQTP+lCMxAb6lg9ekJNd8IzRbWMvf76
9lCvoyI4h61FPgTzWQSU8Hw3RNLA0iQc2HHUoX83kCU/gbnfP+cyHb4mWdddwwrXY7N5FMExhMEF
5ofEawsWdngnfefV7BjIcDbl1EY524Ud9GLlnHrdD0SzJIczdcL0X1ENPka5+H3f/TtmY6f3kBr5
MIMxpFePOZzipqcRVcO2RIfKOil1Bzv0SmfZ2mghNzb+btORfCMexAl7PLYz8DU0yDC7XoRUlH7t
0vx7ijYYS9XXgc8eyBTigglMPw4HCg7Yj0J5XY6HrdPNTdAPrNiLuvfbCrZ1Y/w96S04cvU0eXUV
DTN+gymaetg1TlR80V03a5S/fC4PuSfj+Mr9dGHLo+YFbS0kfkiXt+yAzpk5ntOIHcFwbJ79Vosb
KNf+h1dxDc1h1IQsEUHz5mCNNmvIuCwMORhL9kBXVNU6QB1v78KLc/ljlM1dqzKawso4YEcSCOh6
xnlngGPs3h7kwqlCXWu1eQU5DVXzTVCkQOBjAPex1Ws77fPcmTKdVbBnjbvmonxxKIwEigOSVyDv
56eq02DbKCn5MTC1PIoEOYY1IjiAsBVdWbrXQ8GRFJHe+g+gZ9uEUqNkKXka8qNglO+z2hv2BOT4
m8jN6ZVL9tJQCI0A88N/AZjJ5q6QQqI0JAt+5ALlQbCWkn0BhubHIY6vsf1fbwj4Xf82dgVhasW3
zhdQEJjitgkVR9aNssQLjQ4gI3yu3rsjMApISnC5BmgC6sb5KO0grI64EUeiOcWWK8YKNk9/+9NV
YdnrpQPKAgIDAkvEsrDiOx8JVew6Qg7QHNtsCkSF0uEyVEwHMHfyVeFfy6i3w+H7rO97tFqGIv3Z
0oYnGtc6lQU5qHxxQ5mHMqyPnEoa4jYdmbuSbm0TnXU4tNhAipuB8wlrk/PZJSZs/awDmtb6yq96
xc0deOpy1zd8PHQwl9/1vvSvxDHbl+v3oDjMv9cVfqWbM+YBqwPrDp4C/RKwT15m+z24PvHJRIv9
gCh3uHJ9rJP48+HCeGtJEDw+4KCY6uYmJKxeHHW5h+Igh/Gr6X/qMPgs++5pyuUnRQJzo8R0ilV9
Jcm68DGR+6wgJfh7SKY3GAJpFxLTxtEjCyNZlMpQ9bykrer3k0vNtav4wrJiNCSraDAGtHLLgGnH
mHTBENFjALLbYco1Inreo+8ShcPmZIvlmlZke9TXdYX+APsGmm6kXevm+gMRSzPGvE5jQNrm6GKS
d6ZqpLrmzHd5FGg1sEdRc93GOXneajUXMT3GC6MV1N3dLvbp+0hgSAmAViIGhZsALpPVqfF8LkGE
vC7RjB9T8DvzEi2gursODdHuWZoodASrQX5++wq7MC/YxiEeBSEFUNM2JPWXBCX3uMeIw6Aeh6Ae
b2seZC9vj3JhC64lD6D/CdgniAbO5yV5MeeLMPzoSdC64YKaPCxeGB5CuFLu3x7qwl2CAiVSSdyV
qG5s5cteF0w5upHhPWtN+8yYyY8GFyS8vTsiy6WHHGZM2uTx7VFfH258OfS+QFl0DYS3hztZXBE2
vhPHBSw+e+DgRdm7mCawVZx6/HU7paP8MRDuzL4OujHbzYNMyZW4//XHxJZBMz7wwlZ8IN9sn4l7
aTAwVR+HhDefJpYvn8ZxMM9vz/X1x/y9rig6rxbMQO/PP2brtSThQcyhLu3HOz0JV5FGhw+c6OxK
xHBhQoiAYCKG+jZwmW2M2rPRH5owQws0Pf+78ut3DeChw9vzuTQILmSgTwiAcLjXP//jAoFrl/A6
ivnkMAp58jIvLE2q3be3R3l9L6KgiGt4vYkBiq/9Fc9GgWdyDBRVHJVJ+JMvafbZSwy8GikLglMR
UndlS14aEODp6ri55rVbXkDcpfUcTUuNkCER92CHB7foOhLfyo4MNzpb2tPbE7ywjLge16YfyNTB
X9psC7pAd0m9QR4To7ubcBrZKeTBdGUZL46C4gfK3KvCeVtmEf4cRPAlqI8mt6biQglW+lNXf7ky
mVdI+G+1GcRzKAgDfkf+d/69xnCO4jYCmFLPaFcBOylpyU0BR0r7YgJf//QAm3l3Q9uI00xgLHZs
MW93Es5rGbLtgUZ7iJC4u5/6OGs/qnFBT6YSIWuDXztNu3TPasqKwzqM2S+QNEsE3rb4YbHPLbSp
ZmrLYmxhJRf2XRdXoMWDDtnUtNVffDJAiE9T4tJPJJnw7tHQrlp5J7PlRKMQ3UoCx2b0WhwdY89Q
6KX1d6qJEWgrGQeeKq3ywv4O0oaMfQbjBpQYoWy+HMSq4fqUJKgG75LWN2MpSDv4X0lIl2WPJoBw
qWeKZ/IeBVY1V7XQ5qMtAj5VIvTGyFTzMiExF6SJM4aC0zyGZZgYGiwlk93Ej7rJ2vwnPJEju5sZ
SHv3xUxdUvUmtXo3qYj1HxbY7/uHWjbK/8jyOoIGp5j96Y5pH5TXGndstrPo8tbvoFBR0Qtch5ui
TLG/Yd9kNGXlNNi1NWEvRkUfgKVG/n3iO2krU4RLXU3w0/leqEGNj7U1eVhOs98k1aA783POUOi5
DZy3qI9dno/LHkVET916xp9g2SRmNBtUKdwMd3M9u2w/QCyCOzcmvf7Qeiobbzwv9cIj8qhJfVoo
6kYn0pFUnjpXJ9NuWkC+/jTDTC28b1kIj0LZ13XwT+OGbOKlAblrecAo3XID7++i++Gh5ph+ixpF
EHpYqvUevttcl4kIYaILwyePoV/njMualjYLxukhT1Di28M6PWBPCORBttYdHlsG5kkCZnIwLJE/
lVE6NLrsl6VHWxvpomE39UGffRBLJ7P92FIT7gC31NOTTBpa/AydR4uPbYuOdR+LyEJQ6Gc2qtPS
Ka9XxxpeNtmPnqUDHHDzaOj+7bykiZaSKKgAg8pEgdd8GjK0qKir3AzTfNsMY9TfSjEswX2na90c
0OGTU3jjjIKwEzxqaPgZ/vVh+O80RyJ7SHvqR0cDc9/xrzkEPn3TeZDE3zA5B9OXJe/EcJKoXXOc
NbQPEvuV+2tOgkYzq1zTSgGhAJqs2tVvXTQopoVdM/8CjAaNcYs4qf/UeCRHbzM0RGUfvRUZv1E9
2jTuGdgFoqLFFCHNm5ZA3DTzYD93Juia/YA+GxDeOA+cfZ8UuJWIM/gqtm/6Gv1vxkh/JTPAq9LE
c+adQk8OH12qx6wuY+lyMpUhuPLFo2t6nT/rMUzok99OYSDKQk8+d2Xn8hTgZ1dPCNq51cmDb1H+
PTYpm8LPCi4Fyy5sbFGU8SjXnzTAB2kXcMGG2xnyQn5j4iHxSzCd+/xgI54VewCERH8yCDfDsu8j
/tWg72/UVsnYD9ENiNPsO5ADjW6dQV+TowvcaPYw7ZqnLx58c8UeXbjiBOy2boyHSjE7qX0whnDC
KZAFmxsGbpV4jMPWi1gJrSRtd5a1qSgjmQ/Td7SqC+dTqGq50oVhscArbUPQeDnnTbCfCCX6hie1
6j7bsQjkt3zx+VxZxwriSrAVsp+B6kYFyyaVTxwmJUNQ2ag/JeEEXlLeLvk+Svr2KRKIMio9pC3d
NSn0ozuBxrV9tdRT336ESy6/Aw441fuwZqO9VTIV/J4sHToEOi+rBYhhxTh8hMeeB5BOaet9GDxC
v65ALuMw3p86V+FhJP0v4QnyMgYdn2+dHokcQVXKrZa7jCsWVwA3bd6VFBXzAf7/y4wYvxwtH2Dw
jbtM+B8CLmG8A1kZ7R/SJUR70o6YGRuAKGndLtW156E1rCdaq8sADdDSJ6xs6E5NsUTNp5w2yfR9
bsd02GmbN/1cDj1rxzK3KZxpukKlUaVHWDjzsk8dGmZVXRvJtdcO78W9QKNd45W+6dbrO9SpJyrQ
c+snLjuOjlutlt+bqbYU/V1pB3EkzwYjTg49i92ut8pYUfZzmwZ3LfHYeHKxTLGKpu8gwcO2JUNe
Zh5Eh7e+C5vgtqhV81KA3GVvGTqgoCEuzGBvVTv73lFgVZMbM49tWk4Cw6DTaxR86Yu4RrMlIzsU
o2M2cqjCMOIHSAci74FT7Ah0sPDnwvuQx10S3rbtYCna2MIl8btAS133sMyh7fFitWHXH2exrI0N
Zotg9yNJC9I9DgUJn4umBnikXTz8nds4+EE0qWmp8TKRKpfzdN/TUX1BDMGejB1jVXbwNGuPHvfT
L9AB2M+t1vMM6XHi4num0N7iFtVDy0sO4fIv0brkJxpGISSMxdjWR71YrGFpWO8DICiSORoe6iye
l89dYEV2ALmO5je5chSnKGIuzbBMKRmfZbJE/C4fAr6gdyfeY/U4QS6bfgDj0KLLs+1RkyibPurU
52BGSx30cOiWrClrqlO4OODEOagSQO5Uz8xn+VDWA3ExzKzgYuGe2vVfPstG1BCaeNLEI8O+RbB+
U+gObdn8fKQ/dEoSXSmbsA4t28TgffDaaHgKeqD0t17GW4iHB3TZKEULFQQiC639XeTG5Ls3Dxw6
LsFF8iMmjaorW6DHz7NHEiPLJAVf8sNIGO/DXcJF+iuYRPCC84Qmzdp2aCS8BFDh/qqRgEElDLr3
e+utiARX4v9KCASUDTOa80gQEYSPB3HRxxCv4s4kXlqhkgTSnIyu6c0uRLdnQ21i6CDiwQIAUB8V
Fu/DzKT+6ufTNeT/dYqMDBy93kH9Qw4HnPR8Ql4zCwMRljpyWBScVDKiIBK45HnJdfuZp4OP1tt1
/PFKRI0feg5/ofaKxBylQ9STUb05H9SMfmczofWxC2YBKVg4kjXk8691tbmUnYKpjkI/HEqQ+GzG
aS33Q9XE7AijPQlVJe360vhz7u/gq+39D6kwzJjX1qHoTpNupaphNLSRWwg75sqCesXTiL40iKmX
yoB+dY19/WpqKy0VdGX0hgCo/Yo5is7UCHsD0xznDFch9XL5HacyKtHP3X16+2u9Sh6xO4DdQcOW
rmn+dovUJka9pqHDcSR4JWMPTelhDPe5i9CWIo7erdFIwduEyADy7NXaA3+fb47U8G6eihDDoTll
xWbXH+NwSkuZgA/79sxeLSIgIWyL1RocROlXhsX+0guKPwXFoF6yPbKT9AVdmPlts8jh57uHQngI
lh5kc5AebLd80eJzjQ5DDQV2RD3mvBwlbCvQ0266gvxcmNWKGYJiDssclOU32ao3NxZeL0NwDGLi
l2hkUO8g8tKlTfg14WG+PciwcYWSBzA9wm4gGZtSRBDMGYXBangclzjoTuARh9+038PoKKRUfI5Y
SD4yionupWv4+9roASFdR//ddBggLNgHm+OtAjrwiGF0iuz3Bil4hicpvUY7e3UPY5TVMQWFZsC9
UIyc70fkIAbNW6Pw6EsUA/yuGXd+nXdXrsTtIQMeCqQkAZSB0hvE7uH5KLgSTZu6AGbgOshPDVp3
nGQ8/hylzG7i8WoHwu0egf5lLbNgM2IwWFJvJjUkIoXLpiJH0GCam8bly86Puu7AClZf2Y7b9Vul
Nmt5HqVl9LyGp9/5zPg8gi+0AHpFbJBUEozU09h11yxNXq8fGAf4RMB5cW+AJ3I+StE1ovDmND/O
LP1nYMF9r9KmROr4cUodfe+UIOldb15cVKuyd2sMxbX14RPtoiOYBWbaDUuHGLThUnx736WByxZM
HtQysHTgDm2jDYa5QEsfiFO3dBRhkWhUtXIeXphlyaf3jgUoEncTjhRofiAOnS9gko8qVSaWp4UV
0W2Ph+uBT613N4E4fWX51nP55/MPqHilAuO+BdYCMHIDTcO7Yap14clTO8DYe29rHqbfeUuAaLiQ
ZE9wZ639R7SoqMU9DNTksz8Ya4/vni/GRnlgvUXQjWuzLd3KL6OBU6eoN2zPUzZ+DgawY9A/ir2v
udjKiUcXRPi24GOitohM+3xtkaKBaM6oPhln6c3cp8kum/k1TXG4jeXWYdY+LNBmQMCJ2Z0PQ/Ar
pKEK1amZkKjudIObeYe2nFZUAFryl6HQATkBsuBt2UzdvNznlibukchFxEAeqPOPbsnTv4KJDRTf
BT5FuwHiLr4jIRHz7dD1efuZeGLyIcWidVHDtDyT84vOTNbuk3ZemqOZ/WF+cfHYTi+ByRN7Dy+B
guzjrsn+efsb/oe8nm8llATWqj5KcWg2vX0CQnSCT9sipycZaoQ+N8j9Jl+c/EShw2rplja3fyex
Gd0LXI/n+MtsQh3wEv+FRw9gO9TJLk1IRB64BD3mAxk1miwmZMa3in34gD4pJmR9HAETAccqTDHu
GxF7cTmB+al/WAliTwUBgN8/8g7/L8yqUbjdB5loeWXDFrbuAJiY9zKEJlcwLlqaer+QyEPTP0T/
Ii0L6U+/RlRO4l0jQzQlDus2T452svOEdg1RMMF+Dk0jPrhZan7fmDYShwZi/7bKaxcx9MABIw5i
2drQh4yaPN4nI5m6kks/Wu4SCekPuuZyVOofsx79dB9Zr6L0CQetVfeOwuSpCqaFQg+QI/O/Y0q3
3jPk1Dy+xZ2aNXdwdKOqdFG0fEP2bvw9usXp+SGAFWx+Ag8A5Ksy6Bhi0cQjdferdjNgDECiMXqJ
6Yx0FanrWt0wdIQXO4e0LNhTPUU1MOA8+4UzillPpPPHExoVteONU+gyXFlNyHcmJXpjoBcvF+WC
pkmynJZ0sTd8DKf80JMw+IYnQStsdq67o++S0exw3j0kv70c/OepWdIXb7KLfBokSTz4SNXNN6gK
/V98COnzIvxuKUcY8AOZhg7fv0X3x6kvo3Hgf3FgqcUOEvf2WWRufuoab4SQM5m9+2EZ0IpStwwG
wpwjvCthFdiaKlNa0EomFM50KoRX530ts+SHr4Bw71GgkMHfQGni5Z6i2/j3OpSC7IIm5kNVoIm5
Y2VaZy6vapv0Lzo16Dw+TazrKr9TRbsLgmkCrgtJJreH2ZDCHFKf+eaF+cWi77KUTHRH0f7RHqYW
Ctc7RuLo69TFTn5PKcvVEbCc8Y5JvETy2RZ4+Euw4EKv7NuseOrQFATOkTaAt9dfEEeHL0otsbiR
wQwcvWwQNpCvuYHJ2k+gsfDj4UyMB7+pp+QRHV6TdufHBqwN7QQ+yeJckz3rTvS0QksV1lSWzwGc
GlO/ceXoGfj7jqEc8g+a6Xp8aITnf1Uwg2bHkDW5sJWMaDY+FXOXmR9TocXnuE5r+mhn3X6a8iUI
PukJ1DgU+usFMJWYXXrKuxYey+CQTPJzUtRLslv6IiC3BBjurxklaVsu4Yh+R9SzkV8WvufP9w08
UNr7OrP8JfKcz0H8wM4vI7GQ9GWeVDH84iEBr3pepI8eOJboz1PMzfBABzi03aT+6PuHvK3T5LZp
wce+B/VWxx9FQ7oPUWxg/xalnZAfGsJ6vgt6qDMBJrXA7iJUINyTgS64fkFxAKdRApkOSmwvliFS
Qkr2IaG5eUyoQ2EkIYOFZ1xEgqIM/F6qPXw+2+BIpqVxO0DZzWmiY6v2IQGSu898qFrRqVUr9HeM
fNHugL8D4WcZz3/4XuLqO4B6LLlZEHyyCn1+wo/TwmSycwzGdbARCdG8DuDxADBqonDYjaaVRwnI
Jn+cY4nqR5otqa3AUjPQRoxRYyse9qgtxaPX2zIZFDAmQ1MY3uUgxXtoGJvX4jSFrcpXCVIkyjZF
b+osJ1xWnHkh2onUPDGHIQsFqzqUTP4Npy6QaD3ULiiZA60TVSKo+8QR27F9FHX+Iw1QCNxHAW8f
IO3H6tp66E5z7bU/0h5c230c8fjJN+idWnLfKVkts+9+tI6hUJ84k5/CyBK1Z0ORA3pCYFB6y2yW
fSaM2TfEub/pSGV4F6EfQAQrC4Yz4HWqq6htbIK7OCLpzmNz9vcMnn9bLXiWglI29fABaZD6ZzRh
Nt2wUFhAuGH7MUAp7d+OW/d90JZ9CQfUBqquYG1U9dmQYuWCWqrdFOJ5AEiDtgic+8mPuuP0H1Hn
U1ENA6T68PEP7VR6DjrlHUrXObub8J7/xOUZ/R/SzmtHbqtp11dEgDmckt3DnqCRNKN8QsiSzZy5
mK5+P5SN/1OziSZaG7YBA4ZVvbhSrao3VC6orkFxS31U6L7B6xSHuJerzwZaPM5d2s4zfJki+mxb
UpAf4nHgnZEIOwH92mfx4LZOTns60uv3ep073wetKVVvNKr8saXbiKtgHNUPsaMK5TBmaAh6WqbO
ras4wRAfnaRR/1Iyri2PIgHfM3KkEP2ixHEm12gomgLYBWjiD3QHAh6MljYcVeylHI8UZQbhopp9
dcigUDwGUwKTfZh7ylRx0rt8VdhdU9WVPxGvzPX71FRE6nVmCVq35Inx1kghGBy1DCqmF8eW/dNS
K/WjpU+yhOB7Z9GEU6l1iTlvGzBtfc8BXMcSeFsnMIxDHAx966IOPxguFNXqWyAA6lByltO/UUZW
vwaDMSXHrO3E575vaMD2leV8zMLJerUKkUV3UT9nT8EsAANiTSSQGSYpGB+itqQrhMKx9bWVLJV/
HUrUkOZWi8JDHSrjGwjVXXYQpKcnqXT4MjA8uX9tq+E3FnpTxAcRGlwYlLBahfusHG2XFSK/r3Wz
+tmG3N2ggxI194KCy+dY29L0npkbPndtYUiukjTVqzrXae02FjVct2lC7U0SjtZ4dOo2KQ4yoC3h
lmDHp7scLubnUtPD3k0GOMjL0UpLl6ZLzcHQJ1V2BEkaPTdDF46cGk30IusJTt+8G4x7lctdg6Rt
1YbbDoEZ3Zm5KF6zqsFsi0uZzgGmPpHuUnHhoBkT6mUvTZ7nRwAzQXbI7MJ4xZu3zV2STy3zxmEy
XuJWGoqDNQytfTdLemm59Fa0L9LMDmHoAsNmu5XLT9lkdunRlgLlZzmVduNByu9pfgQzpBxF0MF9
bNop/y7x0jHYLIrDvg3sGDspq9X4wtI4fddy/ClchDLL4AhGOpV92pjIhYyjSk8vjaMmdbNo4lqu
Kx2fRR3voNRT6qJ6oMswpW4zZFHhBT0VXC+jvP3STeVEcxu4+ps6Yt1S2DZq20XdSU4P7VzbsVcJ
y2j9WfDNjumsJ43n6DFqTqPUTf/oeml8bMJB+pLTPn5X6E7f0ivrm85tHHMu3aLsJ27bPq3REpLF
3zL1M4czu9U+VTXgggdZLmTVj/q+etLaGfg6/EFuzbnRaSOZgRnTA66K/JXEq/qYp0X71QgQtnQ1
JevfB0FRF3dUs6zXrB6Uz0hGxpbbD5QJXYg1pLlJPkmvFnCDl74YrdZ1mhQJD2WUcfZTI22UjtRP
tac51q32kBvzkLhlPxd4hhUzH6lpapoXgWEG49IPrR9S8mPxNlYKJ3R5aaYvidzZw8FAjlE5zWU2
IAo1IH3I9uDu87TeVH+qE0fgATG/4avpNMGHxfWp5Ewnp3K7WY1LT9chsblKq9SqzwtlkNASHhHV
PCWa3cW+kAp2IxjAWJyq3kiHH0Kv7OkNCbguHRIt6pUPwTRats9om+BU16nAr73QELEc89BkQi2D
iwBueBN8Bd4RTW9JHJLys25IjXQs7FFvPOE0yfhUgZdr38N9NuuDKfe80mpVz/TS1cOWw9sVZdLZ
xxJT+NyLmjYKP49VUtNM5z75YQbOHHyCaz/QsikCqTh2sowdcdSnTQdJkmvkDbA+vT6EamPZn4KI
5+idVqkderR2V6cPIjR58w7Iasx3ZpCq9pNOg6/7bnR2Kx1lO1Ud7CiREv8BoU7wCRRpAqxUVAgf
FQS5DxLoEl+Nwg7GZycMpfl+nqZBvVcsY/qMW33bfNStWalCN4XqVL3JIc+az6BC9A+UoVTpyEdK
kEAMx6AQntT0iXMvgt5pH8225qUzMJvivhmUIn0cJCWz3RZai/3UGE6helafGOZdnNLi5bouSTdh
f4SJJyeiGk8kEdZAgbKqioPC02r4y1QNSfukq90EeIKHrf1kkYB+rEt4KkuXs+CyLBVeH4leFjza
pMiqv4Tk7uEHIQU9LHWJ50vpodHflp8MWNSKR4Ol5o4L45nrSZeRETtWYy+V36dcQElV0qlyHnVe
q9pzlvVS5leTGo105fRCek7UrCIlVlpdZclHthw6xzEux+y+4Ljsn5UxJ/XTpHqwH/EAGJz5YOeA
wD8O2phOh1qJHYRnA6M0HsHTxM1dkjvGfIJOZBR+QY2q+JmrcR29F5kiZjc0+gCxezi6+V0BaD05
2ANP2NdMr9oJXZrJMp/TtLLEYR47bViQDPP0d1WPIP3csZjsHDGAQo+OICBt+6Hox6Q+lqHcvDSt
VGo+3ciKl4ydtpn8gKFYLD1Telb4oXPROHjuTEk0uHKfO9WDWZTOnkPgRXHzVx0EKD4FF4WW67oW
qEHqQwcnv49FIY5FGAQeG/cjhdD2/noBYiuStfgsQw2mNrwGWWqxLQvqkfn9oJTRG8Wav85WTMGj
mT7fHgipIogzUJEXrevz0k6s26Uic0Tf0z4dvCCQ7WNBPcOLoFXdXQ91WUWycfFQDdCPRKSadB5q
HFOyZMw9753CMd5AN3EwwWs/OVU33nOiaEdAHv9cD3lRIkbBDbQqBXYK4FAgV7VHmYSq5KGa3yN6
Yh2EFgpOjl67ebJ4K9F3JOmlX0CP7nxgqSwhBZJYxf1cZ3HsTUOXPURUyqaDhjTBTo3z8isuhXzY
fUvxB8mJ1RoMDbgmYcFrbKll2gfJLFGCaBTRnsK5DXn2NYaSIQDkTPlO5I2PSTMBXQLIKNQB13wN
vWFg6SjKe7wmANfkDYVpt6ttdTxen7WLxb90OtljaFotO+2Ckq7o5iyDkLmfgmlydcw0H3CRLzyJ
wu1OqIvqPnVTGGPc0RRq2Wur7ggqw5RFTHm6n8ZS/QdvINPLRWl+EbZScyJW/U43ZqmU/q+saC2C
PIqMYeCidw1NYk2rVnIBVy9MMh+zcTl/rfOprD5LiZMguJ0BkHDzXpr1+5akJfoOFqXaA/+fT+J/
PwAaEVuRwqa+VlhGrZfu+SSQ57An80FO2upZp57rX5/BrSgKlAmSGHi1sFHOd0SYSqke8zTzyWy+
6/OEgpwm3Wx2zrdchDJgB2v0ydY6YVoKG8UoVeRCK64sTwts9QEN8KDcWSPny/HfT8YhAjt4ETqm
inA+mJLnuxpBlfNTyiLeqE7qI40Fx23jOt05STa/20IpgEQDD3It4IUCu2RF7ZD7vFnxPE3KEgmv
OgzL8PQHEwRCAkLGr6b4aoLGqaCemyAB2ZZ1cJTCInxTRtLeat8aDiV0ZKFpyKAVtvpyqCtnE27I
SILi9ehR2ajuCs26jf357/yoHBkKwA+67muyLooqbaHJSJ7GfR49GyFG7vjG8obbaeqfnxX/xQF0
DjNTh11lrM6Kuq4lhUpi4WMLw+tC1uv+ECPdEXnhWJFjTjpmTjeduf/GpAuBKAuXC4NbfUG9rW0Q
jkgbt5Iqe6OIh2Map/rOzbw1T/zxi5owBCd1TTodDbDiFhrrvtyDtZNo9bgD3YydsazQ7v8NBjc0
GCx0BDl5zzfSrKXlIMKu8BtLPE1WPnkSkmtlMbyqYfdB6tpH0dMbQHmEJJ+alZY4O1O4OVCYyKx8
0LyArc5/QdKOrZYnc+FrWt4dKaTUrEqp2tlcWwcGV8nS/DMMpCaX//4b1yOfbQGAPCt8eEjDXSWq
9rmqsZtDKOk2DMG/n5SttXBXfmm+r/axoY4JeUJT+MlQma5oTMsd6QfuzNzmgKC9UW8Bj8ENdj4g
ClpTMqHb5ddtahtLkTjunstwEsGjNBnF37efTTodY6gyC/zDds6jTamcYgQCShsuV+dWfdw8VYU2
7VxRm2P6X5S1jDDdzqpVqCz4CAr1d7NCFkPRGfUjMe7duecp23+ThJAqSngIxCBPdz4gLS9wptCz
0ldBVj3ncd2NbmkFgdtWARU2HtivbIs9J62tqDC0SH6dRSN0vdazSUvnOJUKH0R8nh67sUvaD2Wf
zZ/MOXe+TXTQG3cUslLv5DhbmwzlRgNuHBAekozz4RImlZg05i8Blxzj4dfTB6P0/AebGbkd9CCI
ghnmalUCKJm70RpKv6nR2cnSsD1mqhA7a3/z1OK40FBRXBhv8mo3Y3+dSpbWlz4SF8o7AWn5GOSg
12unpQGYh5M3xoN8n1XS8FWPENIv535C/7Wzdn7J5oT+9kPWyyiSawy+cVrIp/5LGA40EhzphV7B
5w60vjvG46fbN6IJLhUqOFkWCk3nE8lh0COqyEbUqzqCtSHTO2jrPdvureUCewzxTWwJl9znPEpA
qd+k7sPlo1ujBwj8qwx9/w92++9BVmtywSSZSRGWvqHGwXHQp9ZT0Pg+NZZS7zChN8ezaBsyJrCv
a+YipvJxbAKgpDEnOR/xJkhpxQXJziG54U+FVtlvYZbV8tslEyIoXCkZu6wXw3dlNr3CVl/R8fhm
ye2xlsKnrhVvo7FzA7V7zrThUEj/lHQRry+RrVOU5+BymZN9keid/wpTmlRTUkryk4mad+L05b3S
p9WD6Ls9ubBlea+fThS7WI/ARXn+rq46WZSGBAws9zOt+0fWeslN5P5eKcZPCZTDnb22GQzRfpSB
wUmh2ng+LsUc7YKOQ4EWEI0LaE+lVN8PkjUXXp/Ean9KUvKyP8gbFlIjeTG8WuCq50Hpw9hdU02L
KcEM0cMeVa/Np/AY0sja2Q9bi3S5zWFly8C/1ppbUZeplQ6w3c/HqpXcYS5pJBlWMUR3ty8Q5CSW
bAuyibUe00R3Q8uMpPBHcob3rT5Q5unK0pu0qdmZs80xgYmC4L6Yga8P6gA1uQjMaOHTvwxdrQil
O2POjB1xzK0Vz92GYB/SVNjQrF4BTYQy4ai2hZ/2JMz9COMr7kVzbHNp3rngtkNhdkcBEdyVsbrg
knLqsnKuCrxh60J3wxozdbrC9QCWZ9Sxabo+VRvfj4+2+AIAJFtMi8+Xn5zWUaTZovD1NODMn9TJ
gxYw7zxxNwbFixB4HNx50Ifr41EZ5sGy8YrECAmwiWuIoazuW1FqKlCUMd3byMuPXp0acGuRBUZ3
gCLBRdERPGOO1nHiz2mYQdVpezt0I7SSKs+sAy17LivHzE41VaDmpAWR3e7stK3xUqXgEKFct0jE
nn/VkLZGlKhAq+R8Eu+6ZhrvY8myTyqZ1+33NQ+BX5WKBb2srQ4tukqSKsEO8mtDyaP7ujDKz5wd
0Z76wcaQKM5pVFaBFsNpXd3YgwHOy0qpMnZTphwtbGF8u4HvlYR0XW9ek7/qgMtWUyFRroaUKZOZ
wVTL/FE1GBG191OJzMPOHG2sfKq2iyvAIn8KC+d8jnLVBMnQECXJKrrHqWZ4eB/vabNsRyFjRX2D
fbbWTdfFSDvfWKLgCfyjmKXcM9LA+uf6F9uaHNojXCAOrycukvOxJMJEzkDCQiTIneSV3qWtuZna
iPuM1tpOpr98/dXmImkjNyQOrmZrZspEPieGAekwQGXVU1Q0vHFLZvKudvrg2Ck8DaF/FLcJV/16
T5mLzA25ODoUFN7PhzhYiwdlnOJKlCWD1yZV4hUammqVNg6H619zpdH6XywiLcVMGVedJVH4Lc2q
taJoe5SeeGQof0kK/fa5Mr/3RfPFHnLLnTGYelY8feeS2VgqlGdti5rMouWgriYRRn6ciGmkPFf0
1t0Mz/toao21k7wtv/1i+kg4FgIT+snrWrATCWrVfZP5sTWnrjxD06YDeB8PFNAQJfiDvYwrKNoz
UB5YNeuisCUs2ueOmvrAO8t3Vm5CxM0pte21D7Y+Hmvyl+ujA79odY8N2Hbaelti3SOFwsUBt7zH
tbC7/czAFeV/UVZVCklGNddBOdmXq1I72UGQPmpmOuwpEW5M0VIr++V4Czdgdf4BqatQvERNu6t4
S6ftVLmxIdqdVb5xZiwn+f9FWX2x3hz56UrGmUFv3DPj0vQSwIlH9EL2tKYvJ4ejghqIztW/lJ5X
dwd+OLFsZabmJ+VI5T6srU+FNto/rm/brSgO2S1mpqQ00A/Pd23Vd1E4Da3qhzlLIJm19hgnqEpf
j7JxOECUw4JFYUlD2lxD/SGmovAgxYofosldSBMqCMXd1AGXieXKT9XkjaWnp9YEt9HvyfBcbl66
Y5S9TR1xex4N6/UXRiW+3pKGloGNGETaaeknDelsNDxyvXgI8jQ0dpbJxlddDJcpanJHmpR3zr+q
qgueXyEh8bXpTnmejsd8jrqdBPHXPXh+LFGzQq+ZgcGOuljztpOEwgFV4Dt1gnWxs2RlXhYKdIGj
MC+iA6imrPFHGBiJ3yVA4A5aKgK0GAYtS9yhCqXJlSOAgw9lpmjSKerLVAaJpKbNSQeEGh5xr28d
N7bSvnlMYrn+HgPj+qcHappDeRz5/3NdCVqX/LeZAMYUALJySheph4ZB1sJJTpr02JZa+qMyWlva
UdX5JcG1+gQ8dA3mlnQEucXVrSNI3QTlO0o9dOugxiNhHd5LtdEN92PXheEhxbV48Op5iN92i0a8
Nwzz/AGEjakcSAtCLIuVIUNRQCvS7tCCE9RcSpCh8hj0pYWgc651+s774fIUQRZqYTGTDcgalLPz
5aGD0IjDwKGiOsnWYws8A7RnH93JC4Ly+s67XImEYnmQASzsuXXpz+hw1y5Q3/ctrQbJKbB2aPq8
2bkft6PQqwAesai0r9Z7hltUNTZS6ZtZV/nQRbrnKNjVstuMAn+GZx4cPW6U88/m9D2PudhGlCTM
nacJjdM7bPSCHXnyzclZ9GzhGZLJrMeiJZXsNDNjKVIqliW6+ghcFLObU+M7XJ+cy6yQyQHTyAHP
c4f2w/mAMlTsajGXFQJlWfOmH2XlFeUFcQyNYfIbJdDAzbbFTiq6/KEXO4Y6Bt0r7hXYvedBq7ye
VOz6Kr8fRvXV5HI+tW0ZPqPaCmgVQOudKOlBOpZknK4Pd6NAzJN5OYIxEwZmsi60147VIuZCJU4N
sqw6pS3ySR7tb2opQ1e3X3QjML7mETvmNPRyB0AkCxLzOM5ybXktLQjzeP0XXV4N/CBUsoAYkNhR
Hz//Fh2aGiOE8tJXmhEKTe4EmLArRfeRQll2N1TZ+O3/L+AqXZWVKFBRnC592UrfC0Rj3obAnF9k
I52eAUntrK/N4S2+vCh0LfzY9eUOHq1pBMOL0qJ7AbIl3utyYX7oZXEMskHszO/W/lTJI9GjW7A9
F5CNWY+KIuJYs/sy+Awue0DXKe53Mpat/UlSRE0XyTGu19X6RfxBswPoiL5Cl/AYwy94RVkNjapR
Cr/cPlsLpZqED/HuC9+FIK50DH9tQjXV8NNp7OIkRbLj8sFt3x7D/CaB9eUJtQhmQh+1KGpymy0f
+LcnFOh3ULdhXfpVbmZvqsBSPVBg4KTlxNjJHbaWxoKtoXhKUoYw43koKQ56ybCpvUd0NUAZ6rMz
+iK3nNGtnN4KH+RScpKd23prgVCPJl2xOQFQDT8PGgWSmnY57b1c69vWbXKrqR4HWZ6KD7dPHEkG
RypySGzr1TaT8mmYRJpXKHXD5knNMPxgRHJ2kGDiHQGv3ibu9+/EIXvFdW7/arKtJi6Z5zroVTZa
Qy3Vy+kSAYRWzPKQ45P7ME39tGcYdjl/3OasS9jCmFuaa8PoaJrHySmWpVl0rRvUEDpmPf4hzOmj
mAp5J4vYiobrFQf3opaILOr5xAEpj0ChtrXfz2qReFYzGge0Y62fhpTaH8dEMt9dn8DLTc7qWBqW
oFSg/K/VC6ughO0mJY2vtZJ+1Fu5fWmroTlEQ9h/vB5qa2w6qTqkYNrOiJScj83UgPwmBWSnCnTU
a5CNXYrzmwzyW+VGvEdtqtlTDrncB2BIwbbh9E13Bkzpeci6mS05rpk8U0rjozHqKTDf+TYp8WVR
EoX9TXeNUj9J4HkUMnnZipKxgi1par0vDTAp8lqy50OgacnOhG0NaXnl4zK81PrXW7swEMPq6X76
wN8tL0Cc/9Bg/3RzngnU67coq31mmVHfJFJZ+xq8IDwOY23RxtlTGLpMy4iio7KiUHxhUSwr5rdj
eNTnuKnHkdUOa+oebSXls1Bi/TgYTfl+kpQGRmgRjDcfjkQ1fvVCFSAQxurMiga4J1JW1D5yEPB6
lN4whWegoiwO1xf81t76PdDq6C+1UEv1Lq/9vAuyhxIDs6OIy/6T0+n2zrv/MtdkTLwIyLBwcEJq
6PxLWgI2ptGblW8g6p0fSzgo3gjG/lAoEr0Z3Rb2ncj01Lf6fN7JRjZnceHiL30u4G6rYZo9Vtda
mNSo0Bn3uSb/HVbYNo5T59dNcheHt0mh/rvdsG7+v3iry00Iy5njmngmkhcH3Y4nN1WDPZGNzX22
SBmgIQe+eH2zIbLJXxaTB9cIb4wGITkBQ/3u9iUCioEJAyu1eL6u5i2e0SZHdMgvChGe6BZyVIVK
/9pQfXu9HmprQL+HWp1SQtLKKTdZIgiDJjAsQG4IL6/14MMfxEGFimyYDAt06vmQFKOxwDGJ2s94
mH8FYJkurnywd47X42xdJ6QeSBoBuqU1uLoqJYGCXK5zRMllPf2QxJRRu8ts6ixmbflSA+t7Z5Nt
7WcyCrpM6JPA/lkdV6FiDlmvsiRsEUcnrWiMk16G46PaqsbLzYOj446gMOf8UjVeDc6KA01G/LDx
S73CvlDBWvmpEsqcHOgzdz/qMoCqcD3kxvpYDJVVEKsWgvJrXKfAb4UeEbi9PB/N7wUisqFr6xIE
oetxNkqUpFMg9packafQ+jFuyYKTSB8LX0qF86JUZnxs7Lh+1OU6eAJrYH9K2zq500fT9oHdOZ+M
SYJ0d/1XbMzlwlRAmhpB5UuNqhCFB/CtwC7NDEhnhA/33dSHSFpKgTXe/NpgwP+LtVaOKgIzsUoY
fX4+aJI3Oah1IC1cIh5qzDubYnNYvzonC+qYR8755tOKvLVSeLc+qhLdqTG69l4N4+BjEFXJzqi2
1suCj1reNgt6f3WNari/ZHMylb6I1ZoULihfxsqJbu42IAz0WxT1fECxMCb0QwUVPJGYCMCV45dC
6u2d7bY5loVJBSkH2OraQRcx41TTU8ZiWBDMa0j1R2HtagFtrXwD0wZq5MtzgsV/PhgsLmieqCw6
mLkfJpiR71Wau/QeIleYw0PdDHeDIo1oXkjerDXdzkW9MUrCg1UizQeZvr5smjZvpq5lHUpZH7cu
pGXnoGeiqndOko2TmYwOssXypkCoZnVODoshrI3Ylg/+K/Ide64hj8vwGGn8wkXPup1FvzUuhHEo
8Np8U9L98886wMEhN7cLcNtK+n1MHPlFnmbrcP3E2Iuymjykx62mMYMCKnFQHcVQ9UhINP/cHgTW
FlKRVHbos642lchGlKNDq/DVOlCfCrk3jyyG7PbsnpTD4rAHXI856ypKnQ99khUc9QpIlEeEfaIn
Q4zmTsKxkZMCNWdKeHxRTF7rFSEjYcYUFMHWQ5T4K02S/ouiZs63vgvr5sUqNanxkjm1H8lsB8e/
/iG31iBULSBedCx4da7WRKD3ljEkOSVsR3ssZuS2KnR8VFV8KVsyhevBtpYGFEIIaERCvmx1SFk4
fQPNA5Ua52n1CB9afyhaJSlvv7OoXpNakRdQSV03u2BO9VXUJxRRi2j6NjSS7tUyioeRHDu3v5Eo
GzF14OPQFF0DrxynF/i1sdjxz8m/Qf9R0EtFWf36d9u4rTgMCaDRN6G6op1vXAnt7jzJNNZhp0pP
CDkZyOD32nMu7D2O4tYUUTJyKHFAqwOMch4K6XbKiBqh9LrMD/mQz4c53c0QlxLGecmfahv1X7yf
F+COvipxRAE+ehG8QEhmcPZHB10szXKrNnhrWs3fvKrhKIb0vZwpux3KsIQ2Gd/C89DWbvNOF1pK
VDFjFa5/HsrJ6jdJhPnOnt78jL9FWX3GcJaiOWsYYDYaaL3XsR6jmZWHO9X7ze9IeghMczme1gqH
RT0BDKhSiqbYQQAvkCdEtrIqvIsjMb7Tkap6NunYPGROT96om8LeWZkbZ9dSzqe6zhdFL3hZub9V
JjpTKFMUQeAa09h5U4ZKcuxRT3o/NYP5poiz6GhbpeXzPyPTcPOmAJNCYRshWuyY1yXACIuJqJWA
p3aO1TyrkMa+5MpofCtjU9x+bnE6gmAGFU5vdw1lw6UAhXApBjPqmPIRnbHyWU5U8+P1AW2smbMo
y7f+7Vu2YRpp6PsAXK6a9DGU69A4mU7VhHd/EIfDl/MKaWJQXOdxHBH3bVozmnwwOleD9NG46RRN
e7WWjVOLpxmGZjJTtCh9nsepKrm0Rxo9vujKYzZV+tEeks9VXd6OGlpEFDm0QAwBG3FWH05RZ8Rk
MgLFUeE8Rm39FiUsayfB3hoNAsSLszumqRz356OxSQNiMUNZ1WS2UleJtyZej4dcJNPP6/OzJEir
w9EkP+MfisA8/lbzg05Lr5atQqS699AYQqpAK2XtmIquE16m2OjM2Oi3318Pu7X8qM0uOEZsqgBi
nA8QCVHBWRLnfmKOpmvjLHnQ1dz2bo8CZYrzaiHZ0co6j5LN6PlLFuh1A2ser9bU4S5Gn2PnbNga
C+Uo8LSqDg5lbTKXCbApGkqivh1agWvVonw3aGH6/fpYNk7fxa/PIaNhRVANPR9LZ2ZVBaaDKE7W
P0lTJxtHA3LwF+SGSg91SPujZISpZ0Qo57t2jcXJ9R+wsSYpbCNCCQQMSPv69JUa9NlQVOPEmOEa
5AIOXKr14+NUoxF4PdTGFz0LtcoTEZdMNIxCCh/un3WwG+s7ImHBHwUBo6RynS3n7fkHFbleZR3d
Ij9Wsxose/u9l0Pz9AcjsShLgVRSKVqujyWlVfMh5M4s5AigEsZrvkKWf7weZWtqlKVaCayb0ayb
OFqu5XaY8L1aJB9wa4gx8+iNrHuKG2n4eD3W1tz8yztnU0HaWz1TYkRb2kHhuYxcFn1FTIVcCWGQ
1z+IQhPdWOAhl7bytTQ1FWAMFtuQ2Jar6DVGS5M8/3U9zMamAvjH6xsIIOQdbTUYudORMcK9hknp
pnfzFJkCTbJ0gLCKihZi/Tn6EtPBEW1dH9MoEo890qaYvlz/GVvflJOQrgeSJyDL16ukRa2mHILc
n8fwL9y3lGdbifOd9+XWWOmYLq5yoIVZjufrPW9l8I0aF5cjsL8pxt72Qqv/ZBjd+0jVnrSkf9N3
KnYbyryDUt5anot4xoLlJXNcqw8PkKh7Jc/ZzpVhHXiOycewK8GA12m2sxM2B/kL8E3PBVz0apAQ
/OdKMeFjBUb3s87GQ9miT2M5wZfZmu+keHyrCe0rZgw7u2IjNf3Vk6BhwPuWUvT5x+1wJqgxesz9
oGhrXKXRyvyq1Wr7ajdSY71GnZwgEAVJpzlSTJj2/Pw2vzDXKCho6i2gjM7DIwYixVHq5D7sEnQL
kYfACQWpNCyV4l51r6/WZSyrlIEPC8Jz6W2RnKwOzlgv09rSyIUV1O5QCys0HITqXsNGiKc9WsDG
XnV6a38s22MpHPDUXsM1sIxV5wzJbn8sF7mGSTL6Qx7IWrczss04PNZwH10u9PVnhIImpEmyc79X
nOI1N/vZs8Eq3l6jtcCA8QLilb0Inp9Pli4qjeEA9i1j6Hv4LlZPYTIqOzthayzLniMZ5r4mW11F
mduoVDuWRIlfxiGLq9C39dR6ub4Wthbe71GWX/HbMyI1W9rsvZb7TuskP8sK8QkH/bVvWTDIt7+L
cAymfASNBK0raxXKyCVRUcdlckTrHIa6Cg8zgN3b3yvoz7ONNZog0M+WAf82IDmws7Iw+Gx0dNOf
ZpUHrlna2t/XP9vWFqKTAdOfv6nGrSaHqkc0c7nmPsCZbxAsX5S+dbyskdC4HPeQEBspPkOiFGYs
SdWFageMANnGgTz3p759juwqeCPl5vSeC9F8hSkAyEPrdy60rWVB3QPtE4X5IsU6/4r5UFmSaVEx
paOFoqXIDJyklNlbEMc7e3ZrdFQkQMPheUOGtbrCIyXt6xDNXh+FcfEaK02B2BR+dUcUYoPPHZ4y
R9REbt5dLEHwCg5PCyLD9zkfIBp7YzRYbYFqcFu91dLcwufZao7Xl8nFHiYKr2bcJKhfLhjZ8yiU
lBp5wsvrJGxtzJ7Vaujmd2hsZ7cJ1nHWEQjEzCIhhwEI6JzzQFIPBryNs+wEia6Bp6pHbhejVpmk
7d7tsTGmRRYMMgRYWLKd1dJvY0kdEtPOTkkgHNuVSUvumlFTb91hFEl/sc2R7ULLc02IoZsE3r2O
0hNLJ3ooBiP4OiZd6+FobTReqpjV4fpcXSx5+m20VwhFQsk5tPqEkWhHA284tJyjqHlxJHn4EdSD
uIf94OxgtC+RxDSfgTXheMPbltri8lt+O6QKY8LNIWmSkzLC9NVGY3jsE3V620+y+NqUmn1Eas55
dPqhfSyqLj1h4xi/C4Ep7Qz6cjI5KhEfXJRymMv1Y6DPjTYw8pxBD3n3IHdpeRcnibIT5WKLU8Hn
FbBQSmDsAV84H24fjUbfVXZ8ahaheGGM9svg9JOH1qX4qxnl6R1+E/LNtdslKn1UsOIUDNmG51Hx
irGoHUw4S4upeRWaPL40VJnfXV82W1+QOAqVJMy6L+ov0pBw4xj4PdeIoXlp3Qm3pmix8wUv7hvG
suRPSMmxwWHZr8aCsYoSDkZ8Sgcrf9dokR24hRPpGZD3evjb0IGIXh/XL2vzsyyRkAbvagS3MPlh
oZ6HjPNeGLpZJadZTZX4kyM1ae+aSqNpbyUqx/PJnist97TEyGdPWL39fdTNJjjQT5GDo1yh6vqo
0veXfI0p1r0m7xAqnoN+zFzBqahitzjhR/NWRi9crt1FoVV6DXSnC56VwRmGxywISvNB6VIpPiZB
3Df314d4uePJ4GiRLN+TUuD6JOM53syyFkm+hOdp6aEuk3536iIEcmsl7dfrwS4eGEvewwZb3sJo
Yq6f+NGARCRPmwQlkqq6s+auepwLu3mLpWaPWG4g/8Q3xaRm7PT+9ciXK9QAemIr6DmBJQP5cj6R
5qBUSYsI8UmRMvtoYgjrAwotbr3GaZQs5kyLYdgiMbZaoQbauabSmuzx0Jm7Rx6JanoHu6mtXcD9
Ck7HliOwDzczkHQ3DpA3E20N9iD7b9nz5wPMtZA/O5DCkyOZ+JWlvaQesoHL9takCDc5MLZLBobw
Msy18zjxKMWmgYnrCecf+x3lIgSvu9hW77q+A0N0fVAXO55gVBIWagfEXTgJ58FQ25StCqOdkzQq
P2apg9Y1Kc+DI72dpWZnbV5shMUmjwsAUR76MkQ7j9U4sygljH9PpRo0R1xOzBNHc/2Ijn1/d31Y
F1cBpU+AQUgK0Mgj91otkwARWhlbCA6yKVGSN+0QG8bLgGD098LqI8wahBTObtFZ+U7vdWOM1C/g
XvE0BDC8DgxiWc1HPYpPfdsrntlwTvednXqjPe5JUVxsOMbItUPu7IDfh+ix+pzjENF6YCvYyJh7
bVo1bqAgw379S24NiHXPC54271IBO4+C2pxuz6j0n+CmRscslBiLJifHOS330PqXA+KjwVPn7Ubi
RyP2PNQg4cPiTHp4qvKxP86TrbxkiyL6rQMi+7eATnBMUZdcd4By3JTnxo5UP+vS9K/M5t3uaFXy
MWzo+F4PdbkKCYV0wiLXQUv5/5F2Xj2SG0uU/kUE6M0rq4rVxR6ncdLohZDulei956/fL3sW2CFZ
KKLuQgNBgDAdncnMyDAnznkby/w1/iLOq1B4UnmajK95E/qoOX0uCuXPei4+tE319P3SBaBLeH/c
427yT46p7jLVoFyrqLNfgn5aTomhVn4WlE9PeENaDWsN6ZTOoL+2JUJuAP5FwP+Vq1xYXxf0nW5g
zVNXkdBTeLyH+/NHFiA0s0QWgFvcHIqeySzmkhXlms0INMx61Z/MykTDxgJn9djU3hdiihMIly6f
jFGw9fkrmjkbTRvy2jJEwaJnCAZJyv/YiXRGrftouvXOYcfdivEGYmIYiDfGEF1V5RZA2bVFjfOj
HA/Ju04u54Pbe9cKCTojv2SfO4lNBRxtxUyPcu1ac/4Qw5FzQdvgKMu9+41AQBM6ClaaLeCkYn57
oJSsXJ2C+SGXmV1KfbUTxP+pa7M96qzetyYI0YBY8Z5sdi6ykZJG6F6BaXG0kARTGm8xnMrLque5
5EhBidkIbCC2pVIstveXC9xqkN7HwFKudtQYr3FdJAheN0+zGwsrIjGCMJVplC3BRBsjC+UkBts3
KOMNwvreC5a6Ocgg9s6IYwY+mKFWwAJkn+u1REE92WGUqkwnCZJDOZfz1lssI38Hl3+huEPO1Jkb
oPU2H9yr/Qcz6GwBhwYRIfibNxkSHEhSnDQ6JIZJ6LzmkDS43eTYfrRUT5P/8UYBORE4LiHXvB10
l6YpsHrUx69NQ39fsTvjpNjz8PStEvAWDgQzPBSTtigPIJ8ydWxnvuZhNrpW3FVuls/zQQyzv7uG
ANCIT4WIJ9DI9QeronyZDdTwGOOJRnQbFPVcdfZR7WiXMDAADtwCwleFaXFSv7UVxM1sp82miVEJ
XXu1g8L8V++VCtWPMv7RLIt9biOn+CMru6MZgP2xwGMwpw7UlHiJ/GhtWZZHhpiZe7m24dS85EO4
EJahzphXydOIIOGceKvwUPCEkCGtTWVBY40Ro/DX1mYkltlcw3bpj6Mh2rb1CcEpyxO/TH7qpkT5
4/Grsv+MIOSI0glG+Yc/a9u6Wi5wv8UmD5gS/DdmbuoUolX236etiMFYwY8OfwfkK2srlpxYaL31
BpRTkQkjGdre37qk0o9aH3c+GuAmgFWitARabRPDZw7SgHUeateijeQL06/DuZlnNLnA9jx3y3gd
BRoPpLXwHuJlWS9J6ss5lPUInkQrChZ31gbEDwp5PipCbz7QTzsISSgqK2JubvOB0gbXWwKmumkI
N56UKNIvEVMUB05w435/WkFJDUgG80iEuOvVIJuyTFGClaZI+v8w12Wl1yQIh+Ys5+r875AjzHaL
Z9t4TmYB6gSxjb8Y3lzwkOcFTJBZ3SrY3L5klEK+djSR3afO35sVnXMsWi+CQX+zvLJj+noyivpW
WCRzBfp8L1EjzX/9/1nZrEWy6qps87y+GXq/vEd70fmUQKFRHyxG/JhfalI/F8NMHvGSOIBbYnF1
DMqlm9P6lkTDO7MbvxSs7GT0SNJMFXx/zy+Kl5E2NBEukJnNouwwC5aky7sb5GT6hMQNUmWuOi9I
1z42dO8IEt3iCbFFFWNzd8FvdZqFIh0kpy1AqkKCN4K2XznNv0V9PRTv5SAKq4tWqPr88tj0nR01
gHABKqD9Avxp44BLfUh1qnD9re2AJ50GGWiIZ0059MpNF2jG32mejSC8Hlu9s2AOIzMTsAvRht4y
+ZemUi8GT8otS5AOS9HpulpECLFLpCifAqVOXm1Jb6sDs3ccChAsTVPo3QpJhE1ivkwN0kfIgaH1
K42q25VO/JpHi/r58erumgFjKNpLfFJ5Y8bpiyp1UHW7GUEb9O7SEpN8i+I5POJCuWsIECkFfCir
KTesXRfET4U+xCZ3e7BidwqhxpOG6UnZBXHpaJWJHpPgxuC9Xltp5kqlKJM2N00t302S1b8YyhJc
H+/ZJtrBCOP5wk9xCyjXb2922ltqUM9tfZuMLn21qvbvvq6pN4d2/mqjCVl9CsLAiM5ZoZZH3Pr7
OwAojwSdygYzIrzT6wWWjtp2VJ2qW1KN7eeqyorWlZQRBbnMstAnMEIkFw+O4v4GkDHzggrIB9Hd
Nk83zFy2Ro316iWByKmmmP+5yhl9uVTZON90a+jO9D67vx9v872loqZHiAyYjeHlTWjXSF3MSIna
3BQa181VnmaQo7lOGAbhQxarbl+U+nxwH+6slfAKCmscDPn7dq0Mjip2CPf3bU6m5gMK2L3yWwEx
QfZecuC3cpkSk+IXHmKn+f3xcvcXRJRswTqK40vlanNBwKOYUzvk5S3sgvw1kPKcDkb15KSUOLvU
asEM0cYm+9jKQjEe2JjzOJa3vp7Sq6TW9aexq49adXc+nRiP5XmwIDyzzc2nA2dsF0mGqpYMX9ir
mRfOvzlz72fSSiTmZCWvDgKju5sHvEGmFkc6v62Y2noGLl9VyxtCkSncaH18jeKwOT/+RJu49efm
EZzgWN7IYzbBJIMpht6l0ImXJoqTZWj26NAB2dPK4KiMdHdBjKsIhDleZuuXGzlQNAZj2MHR6D27
H4ublk1HUcPdBdGqYc4YRPHutPOgRgrgiRJJQ+KhMG6W86AP4+exiVvv8d7dPRJ8HzHmTiluW6qq
E8NqGYkpbyoqZKObo0jrDdUE8YIyG9Y7JajU56roP78WVW0KmXDSg9Vfu0o1LIlTEWO6TVpq/WlA
wu2WshV/zh0rPTgY974W/pFzwUgdD9wmKELlAeEqeeZgqMpwgenKPEcAug788L2vxTQAI/xEX0IB
Yb2gVgyLTHpY3eBN7b8lWWN+HkKn9cNaPpo+v2cKXDwXiqsKhHNTHhukzqybDFMRKfcpbNP+MncF
6uJ9Eb08Phj39u5XU+L//1IeIzdbalp+KPBpSV2eqXSbybkiEDx4Tu7ZAQHCleIFpRiy+UZKoSzK
pITlzcy1yUsjw7w2Omyvj1dzb+NASwA1oqciipnr1ZQ1QOa6TlAcKKoqeMdMcaGfFAYcglckPFE2
/h/MQQRMo51Dbm3pmxN57OzCQnivnPvqrIdO9JKgNY7oe5odXOB7+0eM+HP6UPQW1ytjcgMyjxaf
zq4t51LLF7epuvr89IJEV5RnUJR14GpeW+nKzsFOzaXtpNFAxaTvvkPeqw7vqego4YG1O689ECQC
bGqncOnYwmn9cvaSxAgLtXDwrYElv6Aj6sahOrtzaLtpJrWnVA/Tg+O+84M0ZJm+FiAyMfW4reTE
EhMTEMMVNyuX5E9m8qGqTpW8dOcRovTL4828a4v2FO8IjSpKmevlDbpaSY3NkbdRqrZOUtY3lVcW
DV+tDRPtUyNZ44HT3Z0SkggSQ8JT2gUCr7A2WWVGpAc0cG7yHM/vMyrDpwzRj98eL2x3ywgURDuH
diKFEOysrUjBpGd2l2GlNMKT2nT6hxKV6ZfEqecDt3HPlBhlZ64KjAnTFWtT8VjKhV3AXD9NYelS
/G68Srj2LonD56DrHAuq6jz2iBRxn3kj16bkAnHwDL3MW51nxksgyc4Htbeyd01nys8Gm8IUr77o
6dD23W6gVslRac1GeAsTC2l5qf5epPORFuLu+AklD0JZoPigW6ndrdeTFVlgxe1gvajG8iFXFB+d
edtFuuTrIAVP9gfw6TSHaFCRK0O0TidkbSwA74EYdVfeEsL7i9kFUYb0eRKca/7akzNDb8YoCYgY
+ifuaG1MV7pQaMsUt8RI1HMRLY67aMURUPKtOL8qIZFhArGnPcULTK63eUyYYx5LB3zrzVa7YHCz
om+rU9THuf6SGXZb+h38JdMrAN/s3FS8bm4xxtEHZNY74wBHvvuWItnFYakAiQHNbAe1jUXo0dg2
2zsX6Mb3gSO/gPszfthJM71vIY6ZD562vUWcMlVbETEKJtPNS1DJVtAVdZfd4s5s/mgtJXjH/G+e
+nafWjkas0GsHJjcOS/IipjrFOVHB7q47TSs03W20VR6dmuYoHbzOFdOyJYfDQruPAr0ycygg+YC
bwvSaXNSo5ZDPAXGcBtnujFEKr0LKUdzKhfjiJL47TVZnyBydnilyMJEWrRdkZ1xG8K27m5RH07v
dWVGx6eO2hCLcvLOyRAAtBWjdzXURK+VWhTvyNusv8bQsNw40OMnhyu4ONTSYNCG6Ap85W5Cl2EO
AKR13tyKomt+gCNU3cbp0oPDuv+O5NCAM97CCBUA1Pp6yq0SLJMTtrd+0PvoMpmahPgTdAbPBnsi
jSY3E4S29N+3IeUSxAijRm13syWl+4jMe+bNWpv+QDRXPT9+8fZLooUHvopqIAujm7xeEmMBYzZK
Q3ErE8iSXXORjM+tKk9fH5vZn00iV/AEtJAtRFS2wOI5qzUCvQUznamfiGDgqO/JcBF6f5IQmJIS
4G9yaYBw4ItJ3Ncrmhe7Zg6yXG51ONZuVA2hmyZaeqZZ2fhodv14cmWgxUDz8u7ROQGptomFWr0G
xOVo/S1d0DXOqk6B4RLaHR73IwjxbhO53uKYv3ltCME3x6/uQ9mejXm4lX04ny1W+qHPkW4uq+Dp
opFAQ9M/phIP7zjJ7noTo7YwIcNL1Fufw0gAvVvFFJaZHwQm4hdeeRH6WgxC0UMzQS7uoBmLWTlV
rWQq2WAXetEYWIihpvFfg470mFFU6ru8xqMe3C7xRXZWKcTRVBa0TNvcRps0R5qdSb3JgxZcmqhp
Lktnx55TZ+MHZemGV6vQ8w+NmQX/hdfjqGCxu3F0UkDGCXZyOnrytt2rl1XC0IUz36TGlM8Q+k+Q
DLZPJ3BYIf8Q2vMUDmhQrj8giEw7SxVuQVtMxXkezH+NtlbPo6kc1eS26yE8IlEUNPjEmQJku7YU
MNifpVMr+0zmSB9H7rlfafpRC297VN6sUFmEVkgwC20fnImwNndie/ED2a4EvPVro4+/qcAb3C4y
/gTF7D2+19swQRgkOqdYS9DMe7q5bEgyJLMF9b6f5ebkhlZknucpslxdy763RfTlsbU7myiGLlTy
NxS8dpSDTW1UppXWk98z2n/WGyk4dXFXXx5bEZ/i15NPuAO9D414CrQ4421/XBIRNfC70Q/Tovyv
USr6uZyW4TrVQfYS1K32R5YkhdeVhyH7PcsIaFFJEi0OTv/6kHRaUOeGlYy+riT1eWqX9qzWbXvm
15k9O7fKT+0En01QN863x2veOk2xZuIiGjdwRYnB8rXlJpuqRRvHwU+7Qr4AxZdOCDfIbhEsz/pn
NLVoqyF5xftFurqNLKcYGIraF53fV4v5FaoDJr9rJfpaWdPRhN/bz1p/SkpOFMAFBb9IIDcO2uky
OYoHpfcnzUxk9FCXPPITqTWHbzyOWXyO9DFPvtpjE4Yv86BFi9tOeWJ/UAYnUk6ODErIJ6gKpcuc
yVN4NnQ0ig487X7vNarMAqHGo7Uf8Rl1fRzVaep95qjAfSAdWH0cErv0nD47ggrds0VeCEyCQ0wf
d7MhxlDGSYsirh/nZnnqKaW9G/Mx4i5V07fHR2p/WTnIQNKRk+ft31FopmGkFEycc6TSqv3i2J36
bc6SJ3XamH8Gvoq8COwsYgBlC1qQg7xs7dBs/aF3glOcmdkpNPXu4BPtcsE3MyCcSPqwQl12fT/U
Qg0AGCMfs+ha+ZeMnum/UwiFZtcl3SWtzPk1QhHEox8tX+rOjm5GNNovjzf0zrdjzO2NKYjWGNP9
698hD4xlSmy59dNELj4YQZW8b9RuopSVTwcEAndMCSEVYhpWDNHZpo4Um3lS2eXs+NmwpL6aAKWp
Dam/mt3T2BZmJDj6NECErDAbLI7RL0VAdcm7dghy25ezSnHDpk28MKyCg3dqG80IKzzveDjRoMbJ
baxYOsAgwng/svrQQ6fZBpKUlC+Qagde2w7pN52Ax3fyPPaq2Uyvjz/d3rFTUmWwTeSC5OnbvuaS
FwPSd4Hl1+AB38+9+a4m4r6R2ywe0ULtLYOifNSYczg/Nrx/n/l4YrxX0EwxnLs5M2rQtYaxJLav
W9kfUQ1HOhy2KeSW2ey2oXwUf+zvPJcdenm8mGj/b59OCH6alOzT8qU4hcIz7Ee/5cG5PF7Um9bd
2q1THeDUCGY8SgbbqiC1/Rogj6T6qoY6HWjDyBh84lS5P1ugmHHczhT905paqUB9XNvlx8LutOaW
500Zg5Lk5aFl3qnKxzRvrPgGQj34fYzpHrizPfXSS9uUwfslK+GCdpmSMEI3AxcQugy8tEdE1/uz
AWqYWAYadp4qctr10aQiOZMFGYpPx4cpkznoZA3BrikbPypUXEavkFoDgEEtUXKyzblSDmZM92eE
HJ3mBecTqBk57voXGIOlg+46VP1MQabaRYK1s7+FhT3/bk+WtZwi9qU/cDC7g4ItoQvFJJgp0Jwb
fyoRGDDV2iV+s2TTNXWi2GsBQbw8Pij3rJDdCkwlKe6OsHHWg9KgA5T6eiVFwU0P6r46QZUwZwfv
wx1DTAQzW8PhZzlbBC4DYJ2SLmPqZ3bF9JxcdJc6bKKvTy9HEP8AguK0iCn/9Ydq4qaTpijOfHAZ
jMQac31KYngOH1vZ+X5qfgwjUTLmx4A7EWv9xSFXTWzo0xjEfjnCyGQmlfq+VKHH0NTsSSlDYhBh
isKYwHcxmLRparVZigq5mSQ+aKLlLNVTcEKExnqyrvhmReA6wFtQWNzSuLVFE5V0aWIfYzWpiZKV
9SmdovLI++2yL5bDCy0QvFQ5+E7rnSvsISucvIj9YWzs37p00S9ZUhvXSZfD96Ml1Vdao8qT1QGx
OtrSQLsE2S8Jy9ooFfB6ShB98yM0Xv9ijGP+K7OH6F1kDcmXWjPHT4kJ2ebjMyLOwMoBk36J6hEf
TUA+tkVU2RhmXUn1xM9VKfeCOpZB9eI9n7fC+B8DgCAAwSBp66U5i01RVo9T30pi7aKHcF0Gin4E
rr1z3jnnhJHgu+njbp/IKIrSfs6t1K/VcUyuSITpi6elbRSecic/hK/dM0d1j9o6gja8XZvrZUEH
YmvSWPl1Ewb+OPHk260SeYCNigMnu3tZKPPiZPlKQGBJzjdOtpyHqu3qqvYDRxurswMQI/vIQISZ
n8Auq0jVxk6lEm4t/XANtQoCwMcfcL9WhEUArlGzElHetsE7VKrR28zB+NpgLGd2+r8yT/cpGpaj
O76/elhiQ9/IJ+lcbFxjGDYF/IVd7UOuEryvJElHjN2yfiMW187pZDgvhrXEz1E3ihQKLg3ebUYr
YYPYlsiiASSzEXclidsyXRl4bE/1BBZwqNPi4MLd2UmQwzAcM8FJx0zf3PIglQNHCczSrxXEw6mx
qEtyGtWxbS9KJwfSQbx6ZzvpuBIqMxjFvdseUhACqNc5xBumFo2eEnTzOwA28yeLqcdP5pIpn9B8
OtI728XoZKR4M6FMQKBOA2h93ZHOHdIiaBPfIiX4AFubdrGGqbwxYqeEblFFffJlyWsn/FBlktFe
uzy3DrZ579dIItEcYWZbNDK3v8LMyLs2DrZ0gzMtRrzcsl0ej6PO4h0rPHm4akfo3VOsWy+0nlWa
LnET3JY6jD4xXfedOdbky+O7d8+I6DyJWjiPrLwxkqpLZ9RGFtyKOM+8Ys66k5ZCzvrYyv5cakxC
ABEViAMSm803S3EpkaoXoT8rcFossFb6Zc5UZ2RIR9xGe1M4TcpGIt0nYdxC3x2mYgpDG0s/ZyRs
OpnoFkHkbEhGDB/PCA3345XtTyMpDEcfOSmY2sHDrD+SlNXDbDZ25ldppp7zTNP8LF2A1ofT9D5G
OM5TrMg6V204XsZwfJKam4tAtsoTwfQ3DplKytp8nol3V+oXH72sTDqXugZsRKfaMbgIT8xHZHr7
04I5ijXMRwrJym1+nDHfHndWufh5NusvUeXYZ6RH4svjPd1/QkaAaAMBFaUmRBC7XlRHzDBmc7T4
YWDSL2k0q3WdLqcPFMDxdVT9u2vNooTFDlLz2hX3uwnFb8mafUWu26thDqj81JzSFo2m748Xtt8+
3jj0zRBABhdDp369MCcuRoj0p4EyuFaH1MGThPkgHUT4Yzv7JYm3VHcIm3lu4Ina2CnA6JGpDb4W
DLKLiGL5ksFP4HW9fKQqdW9JpGhkpm/1/S0Tj9Oi8bSAH/Etqc9fZKfovVCC9PbxgsTGrANJ8fNJ
AHWhYrJ716pJmjSmVxTfkgHTwxymFYh0RShzw20+ToNHsC4/OX3M3RKgaGJlkB0kU9sOoVVEyhTY
leKnIDXOCWLZp7CJrVPvpE9qm7+ZoqcrCKQFPnQ7fdzk+SIveaz42kQfdx6y3IuQ5T64V/tvJfwh
oevbmoCYr4+FoVYzXMCa7A9USi9NqMDpVc1Hcmp3rQBBhA9bBHPb4k4UK1D1hLbsW2nQe3NtLK7W
NUdcTPvijtgqwbEjcBr0HTeLmZcFDphhkv3FasLJ43zr8b9TlqvFazGpnXa1qMjonzppHupT0xhw
5AwSlD8XXE80fszkvo5eqqLq7ZcwNcBlRkYQSZIr53VrMLeZZ/Z3ZS7S/CJDu85fGAq0SpI2IjI1
2so5Uq26t21ibFpBigs+5S2pTjKpTUNoOFNyT6bvKnP2rwKff3ST9q6BCSKqbwCxeDSo3q7PQEiQ
mnVzP/tWIBWeXDiibZTaJy2snyR55VCLYSUCF0DQDGlvsz8+SxAjxolj1Uuw5NXI8BmsU65WN+2n
x/7hzuZRh+asiTYOeN6NY9UrNbbyNpl9mSDwNM+16lqDHZ4fW7mzd6AFqCei18r83vb+xNkcwvUy
T35XNvXL3EBYEld5dCrn7kjAYW8KlgD2j+4ikdOOWtvQJacvk6D2cQ3qhyyTlT8TZ9JembWRDnA4
90xRaiZ+gUHnTsA0x5NjTVrjt4TtL6ixlKduMGClruwDQOg+XYDuhelHbNHuIYRYnz2kLyI16Zva
V1WgVW4a5pLpSs0g1S4oxDL3hkmJSg/IceI8/SIKxU9yIxqJYMu3nJBlV9pGz5X363JWbuATu0sr
KZaXx7SDHp+S/VuFxih4I1GJYFRvOxMYIsamR5XZ+E0h5S+tlTkvnVIUp7zPh9PQy+ZB+r4/+/SZ
eO+J/qjK0jVd7yqVXmPsSz33o9HJb2C/9UsoDV8fL2p/SDDCN6O3SKuUV3htZEzzXK+LJfeLWY5+
OOFonWcmVW7UE8bL86ZISETrHvrJHcAW/HMsk1vlPk2r/hRlteFmTRCeizKK/gdTYLyZdiSLpeK3
WVUqeOTGYMz93jT+0ZZGfWGqLDyHVacfJED7Q0EwBsibVja98x35ljOrZYYece2PdEL/zi29KH0k
PPrZk5U2iehQUCk8cFf3bHLgyR0F4gKE7/qbAXzTqwRNBT9cov4rTGvtOcm12AuTKv4TNWbnwN6d
MyIyA449/QFIaDZl2tAoZXmRisqfHD2T3FytrMXVa7lOybzk6t/Hx+TO6uBop2zEH3ri2xh3mEa6
5TQHfLJ8WK51NXNrW/keTNJtWqbKe2ztztpA5wvvxcL2ODgzHvVKg9SMPhVSWV7VF0pzQS6gCV+A
YXZHeqN37jQQQtpxZMtUGraNVbtvF6fKYrAldjZ9lUNS2LFqii+PF3VnC2mIQ27ypl+5S0fGWYem
pQt6up2l4ylmHBEEVca1A8N8S9EfffqVBowjSKvAYqJTv+3m6EVMdagPBx9wge2GmjH7RhW2B+/Z
nb0TFLnApxjcAL64OfbWWJSaypCmPyUDOLjcaW8JzaqXx3u3f8sYNeCn46BEHLXF4CQ0CtRYSgdf
AsX6XV7m4awvqXntAqs8I+bevpdmTXnW1XMmxEgz24gLgVNqfaMLOU7MGHpHf2wU7UusatGnprZ+
PF7Zbv8wwui3EGUjDuV7rY2Esx13RSQNfjiDTZiTJD8VaXREjnvPCnkw8S6VBKLETRMkV7XZkYjN
fTsts3OX64OrO8tRCW13bcUlgieNXj48krTc1muBTcfqS1jF6NjP1kd0Q5EBsOrk41jk4fPfhnoI
CGPKoeL135hKIqmv87QZfWmUWtWXnbybzhG6Rs+ONeB+yHco7/L9KcZsy4KdLo18+WL0uWb6F0sa
aldDZffb06fgbXSHaIlc4c4Ie47EfcNRM6Zw7ihY9/2tM00jPsjsd+dAaGzSdgXHTCsM6vP1F+r7
YOh4SiY/5myfSR6nd3lUNc+6b6zg5d5QzLRd7Y1PYJbZGejsy74yZ/FpGdvILQcnu1TdIbXh7sgJ
U1xSgnYw/Vyg9YKSUOvnWclk34Q+LHdzOxgIcvlABLwRRZjL4++0qz8azNLQjuLfhLfUPdfmpgX1
ayNmZaAcE09ue+nPYez1r10eR15EUAKsU5nOmhb800CFe3ts/c5iiS+ogwvFPpJJ8XV/bQJPUjGB
S5H9OFL0V7O0HITDivgUa3F98HjsHC4LNeheCnIKsFzbyfvENJLeYjrAl6kMnuai/zja+kVS0/Fi
Wfm7JS+PKJL3R1MMG3KhxRwv0LRNqhxrZa7NoCH8pumn2jUl5T+M6TnPgouFfKgDJE0TnIcMOm7P
5qwlCddA9iWtAmk4WNzsUh4uSmW1B4/W/nNBTSUGdQBriRbmJgFLYEpIUXVWfLkogn/GbhovRWWV
J63q5YN+8x1TJMmCkZzdExiB9clwimGRcrsJ/GAq49qN5cm4yAysu0HozM/SsLCFIiOnESPQMdTs
1sYQc8T9O0lAYi7F/5qFlvuaWj8pw0f3l/eeOw10CZwYddW1lSZjoDEPUstP47G49JUqyKeb8iBT
2J9zxgQAVAgMH6d8q15ugzqNAjk1famOSy+Nw7RzzTG1L0yUxLegH6cTBYOny7hoCdCgZ4KNcJP/
3pz1Igy7lGfH8rVKG11OT3mV9Go+WNsu4OQdoQskDFBTZUPXOzjoCnjpQNV8rdbUi6nV0W9JRO8k
1CTrnR1q5bNvsqi0A9IWYEiShS2dTST6kEQF7atWI1zO7GQJKUmQ/f6kE+R9FEhlUPO8MQxwrVcV
BMUoobKJlTQM/uxmvXCdvBnfTf0yHmzg2iVxn3B9IJTIsQTb7A44R7sxgE9J6b3KnnLMgKTT3EkZ
paOp0PX1/WmIEPpN11DM5Gy+1FgEZAfLOHiNoxReOA1gAYY6fodg0VEz9b4pshBaFQKtv7m8WphE
9DLmwRs77TJpWvuxVLrhc78cAajvbR4vJAhvAaOmNbL+TmHLjEfa2qypo4o/Oknn5rN2RHIi3vf/
16r4uXOkBsxhEgvyLG+WEyHlg+wSVtpOD1/DSTc8KdbaE6Aw85QBO/jNLKXptZP7g2xuHQm8GSYf
5qHieAAP3B7DGu2gREWDxAsVTbqCqI4IDLtKvsrm1JyTpJZfwAwqHgK0ztnM9CMRozvfUQTAooPG
g7brLtQIeybLgv2ukApXHtP01MbF7OdFlRyEHRvA/v9dK11XWp+iab3lUa0kvdHirBq9uYChJAhU
5yoVzXDV9LA9m/DFu72yzK9CY1yIVVqXWEFBYbY7yzWUqXzpc6hTiiW1vj52BXeOGDOjFBhFn1vk
hesjFqUN4xFDwh50hXJZQrt0h6EIzo+tvLVQNmcMM5Q+KO1AbrX91EqUmqld9KOnN6CBCmAfH3Rm
xZHpboNzOmqpG2ateZ2MtjtJLQpjoaMml8Rqus+Pf5O1Q//5HfAOVLSAtgg0xHq9Uyp1bZgXo2cF
kelmji291kxKgdELOm+opOfmx3/aMyF0J1eA3dbcYvRCeAbTkYK1Z8YJSKWQRlyvlBUtueKIlmF/
nMVoGcEfJXgbEMbmHrfLokCUr7E0Y1w+alnqfMvLLL0kkHv1B0nQfVs0Gpl1oTK+baJCSjkn0WSP
XqLX5FotjA8uKAxUwKxu+Pb4k22mjcUesjChJQz1KZX4ba9kpAmshBmTQma7BNVrNjRh/2FmHHf0
osjqtN/n1DY/yUvgxK4xAjU2CsWoT6HkLNVJi0Lo0lw1LYlTDnZhf3kAkxEYQEBv81pvkRs6iJBK
m63RC4ws/c3OEKuLHOc57oufywcBBr4ATCJN+M13zfRcajoHK0uR975mFqpbyU53cEXvroUigHgF
gPVu+QhTKxxMAPWTt8zOv9A8ZydHn5KDaOANybv2A7yZUByIuUQxJ7W5fg1vSiUp9ew5Y9JXMFYG
UX3S4T3r3ElrHekE7R3zdmU72tVFl4M0v2aVFjbXAE6x9lWZZzU/93KU6p+IRev5lCIz3dxakxK8
OytDe1RbunPQofYRUwZvw3nbMHNYFjVqKph98sn+fV7gXdej8QewzSNljTv7T9ACTRvDjYSA236F
NoIT0O1gInQpJbfK2/SUB9ORlb37E4pSlLwhpmFWaoucHJV6Mtu0mb1R3JNmAeIn569aCIet0WkH
+HsRnmw+NuEf8EwCWgF13RQWQsQmqpkRIi+Xsvxk9bZauK2tLRfDmJPXFIEzL22H+Mdjd/GWV6/N
kleRj0AdQeuC6eK1ix8SJ+16uvhe3ZXBvwHDxe1V15MhcUunVpwfPD7jdwhzMuu1jMc+dKEnThXP
aZXYucRmqP9XAoaun/psLoR2RaYFH5LGshMUqfS2uyjtYoauIpSE/7F7dXlHgyn73i112vl6mYTw
RRsFWhe1nNuvao7iuls1klZe40A1vy9JILXuNI6R+jGvqqWlvb8wJSBkiKoXtZ9NVBuDajT9fqrm
ULloU5r/I0OfFlyDXKsqbocRz83BzdwfPxtEGKWKt4YqAdV60xJ1GUxGIjWmdpbiJQKOeCIZfg5e
LVwZiQCTQsjdkPSa215+pKfJZKmz5Sm5nH4omR3yS7k6mo7YB7QEzQxdqXT9gBTpYq2/1Hi6ulEy
q7Msr5Sq/JOeT5I3SuH8IUK0/dw0Q/QjYIrnrDMvc1C1u2OZmXbKkGTbIq/aVEZKSC5KezBtT1eG
F3PSY3eutL8RGLtB2PVhCszKDYInK5JIuTPhIoDkQpWH2v5WG0IpbHUqzMbwxqxRz8s4zV5cK/LB
Y7f1hFgRA49ifI76HQP7610NcV0hfU7DU6BDdaUwtv/u+tyhIW1ET2XBbwtCwsPUsSb+ZW7ynrlq
ymSg/uLJKZIaEBQOf8yJvfz52FFsfSELothDiZ0QBuaZbbwU9oi+ihkEL2kbwzz1y9J8DcoxHd26
nZy/bKOSj+i87+yhkP6BRIRaCUWtjWsaM6Y9ZzMzCRggK+zjJvFG3MwFgMsRdOqeKcbVGB6lsAsa
bFMfGcyiUawZU4Ol9W6yqMMpkZn0ipLlCFF6byPF0YMSUQzob2NqdIJB7yyd6UXTlJ3sMFX/DKsW
IQVzCj6NS2mdnv5w9MDxIEISlqqM+H1+ud9LkRmVIrAQqT6Gp7CGSN5U0vkKnWt71sgW/wd7BF40
pQmrKUJu7KnMMmQB0DGvTmLrHVYKb86X6mpa/XzJFan4+nh9dz4d6Ti0LIJYRIBX1+vTE5OQXdgj
by1+L+sMamqlmH80NlJ0j03t8lIugWD5EEy4oIJRQ1/bUqDkHLo6CzxrGpo/UFQKygLO3z7v/ujt
KrM/d7rdGFBeBaX6EiktZFAV87PjzVDC+bXkyRjgmcsi+awWid6IumlTHvyS27eJOhgZKmeIxphD
FXjjz3UKR1WtS5YXG0t21vu5O+dj+8/jnbhnhPYUgw8ESKRRmwcQTj1aZBBuenqCbgATkpI7m91R
rUX8lF9jE7EUUWuh4SIKplsrc1hlCXyvjpfNY3sbsxa9xKiXL5PRD5/mMghv+mLJF6tXwy/WoPwf
zs6jN24kTMO/qADmcCU7SnKSbXlmLoQjM1nMRf76fajdg5stqKEdGHMYY1SqwKovvKHbv3WSvInU
pp6dkVZ8++Vu55mUYzFk8TGbyEHz2NQPjsx/vD7IC2eK07m+vDQ/uH+2769cCq+ufRUfU5yoiXUg
IcEzpduZ7tph8b/rUatZx3Hqff0xshYtykiH7X7eQQJHdzquPUE9Ysr8/kE1xvDbHczpbQZl6xOD
ocKKoQaHCRVke2dhNR5lgxUnx05NztHMSvs4tKV8k2zh/43CSkBh41ulLHm53k1k1Wa6FMkx6dMm
1LoioRSe1G/eVeYCfYaIA7Im5eHLUWjgz+5c18nR9GozcFRWhRN1wxu34PUHAqKYcH4Vi0LPbAsu
LgG4S6RgkmNJQZx/NV6ozL660YW5GoVaCcwcB6oh+3Il3zQqP4qtumUU3U/3HfjfMMP7561z4SeD
J8XcGYzY2sa6XDHPjBKZZSI5isKJUH7zxX9NP9ffX/8QNv6hbP/zMLTKqLSTdWmbh2MRpqOGDiMD
bSydP4uv7OWr4SbSDgg44o9N5BftnRjFoj1k0vJ+a3PeORORCLbTQdGnU7rrFUjKH2ONGeIh9vX8
s8wsaG5j6Y7v4lgt/Z2ZVFMWLPZiJ8cRDHYazjKLu0AzK5TsNC0ePnXeAAv69cldPVLMDTW0lbML
vftKeHmtTDoRKRNzaxAItKz6Pq+y5U7U+S265EtD0XJfDYnxqgZmd7lbWp5h6QYd5mgXDv4IJZZG
KW2UIPPTWzyEbcq6qq1hV7A+vavuz/apqTLXmabOh0vflKd+dauxR/sH1/HjXDkfB8wg3ryKz7XX
VXQfe6htQiTQVJSe1WVHO3OaYMEbG9HDCAMg2raH14d64csi4FyBP8SeRKGbVcx8NEazvMmOMjeK
o6+1087Ozbf5MTwf+TXqpI+AAeQqnHS5V61lkREbfXYU0GhDdOGrnat30Y3D9+JcyHcoY8Bpo/Z2
OYqp+nkUGeWplOxvP036FGYOOqqvr9g2m+MwrK0JIjEyVspim9jIRlKwSVM9O44u11BjVdZ9W5Q6
1B5LdH1g2N34e9bt4mwhf//v62O/NEPGpfJErQaBxc3VUZdTnLstY5P9NDt/MuadQAX6Tciz/90t
MiASEjI7BltX4K9Ium6mutGEi9MKwtW7OoEbuCy4Tv0/5rIqU4K2ocmwTeeKwoyXsdSyY17aWugu
LpyFRfPf+goSxdJGgghCsZgga3On5+3Qj3pS5EdjEcnJLwcy8K74+vpU1mW/iN+g9NBM5w+4fRoI
m0Gm1DLncWmKY98MaMAuVGN60y7nAFRQenBlq/96fcDru4+qDNLO+MXRO6FbdblDbjlGEEIoHtlJ
P35YhtncSZE1v5y8uHEVXU2NIIiCCSA6Wo0gttYT+ddZmFAXmrTWyI+6Ep12b02DngVVjOj8yTLo
Fz+oaoRn8vr0XhqUBgLxES0ZpKs304sHDUZewqXkNbHazdo0HT3sIKE3Q4UMenbh5+sDXq0nswSN
uHo0o2dAyno5S7Mu3CiCcHsslCH9fZS4II/qxPWOvVWZt1xjX5oe8S/nkbeLC2QzPQLZOHW1mdEQ
OgsQ8e+/yi7yfnBFm+8i4bzRIYMPmuk9d4q5fIltt72C3oG9EiOydixb1bwTka5/EsDQv8uWpFyP
y1uWwi9NEFoEWThNg1Xp63I5eyrI+QIe6FjNc9bAXRWjuev7ODuVkxt9Us1UnN+6gZSGyC2IRPkg
QBNejhhHRSF0dJWOUbXQFUbM9y730vSDmOf68PpQ15NjKB+iKgIrlMq3jfEuhsZVKLM6umwUFAxN
PtluStsiH+OoOumzlG8tw0KLWJmJdLsofcH62M6OylNqlT2gz2GOqZ34X4HLdTeykutvgLI8aCBv
fT6Z1/r3f33pudcaKqWPdFQ6CXUgZJR+HHnsvixWvPx5fQ2v3jEmBEYH/hGX5rXJD6SgppjTsj7S
2LHCNufy3rWNL27pCDyLVl/czOtAK0wbnDancbtylkhGg9Mnj7FfZJ8nJ+26MFq8VJ0IhxGDmyc/
D2ovbbq7yku7+D1XXfxVuqk3A35pmg+Dk5vDj9HJqM9GRWzjNq5BZQrqwrajDzKr4GkVSaueQOXY
dQiJM17uoOQt5t0MsttB439s7f3Q6Pp/tTcMSRVQAFC+DFxrqt9aSV8PCkkfvrnEdKs54OUe+tWy
zEXnlUeh6JqNeaS/k1m6fH19964ioM0o6xfy10kB6mQYVW6W7J6fITlre2FdDjislGW+97K+YF0T
+aVqZHF8feT14thuJxc1qCFYcmsZ4XJkCZSii4sV/YzL7QmOuNpHxtCEupLOI7oi86nR4/SLB2f4
XTzqHOP/x/gQ5ggAcZK8Ej6SVjwJtGmr1UuyRGurzP5LRK7CUoriveyMJLRxjXvXi9F/Snn235oG
U6CAV8PDAWmd0vTm4RhAkDhLlfOJRrl3dsxx+TDkhBmvT3JDSV2fCwA4Kw0fcNGKbN/sb+cXNOCw
A8Kx2pf9WVuK3g7SdO7MM41WOQdObojxZzKYIg602l3KM1lpo99Jo3O0oNYnD4apcBKJalMuMpwt
DFWGsoIIG3Suq9CVLxotDafCgvnc+dXsnNHbq7L7wcxb58ZxXQ/95aFZX1nedW438vptD5UVwlIB
lA2V4LEO5qJww0IMX5ClWfavr9z107AWu9f7jAvHQPLr8ni2+dRaiLrXR7SKbT3w01k81JVVHRsZ
ycAc9OJtLj3PW0UZASQn3wI10G14hsCAtyhkEo5zHRf7JUu/+K3wQ99IbuEtrq9sQlxeWGrP0KFN
d5MoKihTA8lbfYwh5e/HydIOmhxvYZWvrxaKSMRGAMA8Tt+2nWQs0luGxJTH3o/+5aUfQ2vU99yj
WoiwlREatfg4N9aN6OGFfVuPOlIQkOioJG/2Le9iKSc0YY+LNadHK0NurG3GOrSWMt6PiymfXj8n
L6zlxXibawyX5ATw8CSPudtp58Uc8bImrw1fH+WFc48cODERdASC6O1pHDwCoGyaVxmIxk93XVu4
M9aOmrlDr8G9cTO/sIR0cLmUkF1c1UnXX+avN6FOqro3y1oe69oEtaamP8qMn9Kq+r300Y/XJ/bC
8nH507ziKoTut42fUQUVUV4RZVVSa8MYP9Bdafm3YofrUSDKURtZYXAep3uT52NcY3n4TwzHwne7
VSe3F0HkjPVb4UKs1+pYAmAU2BTRyibbHrMy91zJOKPR6UHjLPrJiQtz9/qaXR8GKiLPwN5VtO1K
gbBLIgfzpqU/psZsxGGkeDb3o21k1tFZSu8WGeD6OND4XatXnD3aVVtEST+02dBZaji6CRylwGu9
rjoRMxTpe8xv8/qj7PT2bYzb9TJcm/u0wJgnMovbPobQ3MLpdA2Tc92pdl6birBYTJ3a93Drjbxe
zhXbtWp/0ommALnJcOifSa3RhXaM+nEKkyhNd7L0unMPIeuG7NbVOSSYo+JNBmehB3TFNs857JWi
Kn6M20bt+rhpDitm8saj/wxZungl+fGkMyAkngUkt5ourR4NOS4JeLdPVftNd7jgj3oVp12Y5FNs
7YfKav+ZI8vo0zDK2ml+qPW6m09mDn41vvHbXM+ZxgjxDUkPjYsre0qrbCZhDrF19AdE/6Pe1Y6T
h13D69/EM3P4cs6AzjicnFGLa3+rveHOSe1owLeOY2nny77r3bh9n1lLWu3oUQkvSJ2k6INhypS4
Bw/qW4TzUs8fOopuCxmf0gf9q5a2laMdl9ltRrgh/Sy+9YMGXd6jaGt9rhxACnvEZSb/PpE1BJmi
AV8vm7pTJAN13C+73DUa4z8/XdynFrRokQbtUEg3TBa9nO8poCOAXOJi8lR6GQTh0ZmkDGTldO5e
Stnop0YDyXg/aJme78dROsP70pcg65t6zGLEjK183C1NYshfddn1T2bRWV0wxnbSHpus08fAawSM
cSl1MAGhTyPwDkutvtvFlO8qmEmW9E6eO0fFpyVOeocwP5qdfaS3Uf91QJnH3ZFJpdO7DuSBf4BQ
g0PEYrt9u6+qIvN3yp3EQilHzdNptAw0dqIiMb6a/rJofDWrXH+DO+QfWQPp/qfUkIL9HplRoT0U
XpsV+zYaqujX6/t/fcpWbhvRPIEGuLAt+lpJXXUZbcBj53dy5/R6HGJSI0+vj7K9CrluKSqBTKBR
TRdri3cb2UhdG5b8vCSN8cVYlPWUdob84QkE3sAB36I8bGfFeGuPlSgUPyyO9+Yllsjlm5iiFeep
E2boSNf7LKuq+v76rLYX4PMoGHmSJdCEobB6+d47FYbjShMYJmlRn++6GZjiCtNPVFCSx98qmV1P
iiLuGuBy4+LWt7XXVI3yaxEVKd55qDiCpx3a/zyerVsCRtfTWrFSgGMIBDnU2xsBZGLjmW2ZcSRJ
oOOkQ67SAC1dtvkt88brc0FFB2wd4S6HAtDR5QrKKOp7nX72WZR1s8stf/ii6023G53UfIp875ae
xwtTWytI69x4stBjuRyvd6DJL/GQnZ12mPbFMk0V8UylPfRlJf59/XRcbdfa3FwlglelCILzzemI
zZYCE3Ju58FKpz1qWmLnWuVbiTBArMFZczBIWEkVtjEn1jAOIk1iOY/gKX/KKJ//MaxoeJvY5sqc
XBMfyuygYcCfbcG+tqpSY6pt7YzChhNkvd+ch0JZHPQqX4IsyYo4mNJ4+f3WNVyzkRUpi9AAmJ9N
kuDnduNRr2rPc++3hxVgGOLAnX568ygwsVhBIlzCte0asofmUGRTy+1EhtwpEGedyN/mdbYuIe85
/TKuwDUX2bJ7qxRxYJge3dmyxICva++GuhV1u9fnsp6qv5/z51Ge23I4nqHLsImky6LJwXg23Vlr
lRtmLa/GlN/HcX7v+ZMZFq0V30ixrr5hsDp0KSB2r8CRKy1xB2USGGxGdxbZMD+WbdMf/Vi1h9qN
zHOf19ONRPX6u0JOn4gImgrtnytqgT+rXl80fTxnnR+HLvDhIB+KW8pn1+vIJcFbhaQGVSC8fy9v
ChbPLDveborbbvzHTc1yCgDaxzjxjWBrTx08pU86fui3gtD1B19uIBjt9bqgpYUM37aaMXbRUI8o
wQN3quc/mjnKfZ9Uy72GGftpBlhBKJNn9pM+pbckYK9Xdh36mZmNITuQt8s593WZwTpKp7PmowmE
cMh8NjLzFsH36g4G9E45egXW8ZYBNrkcJYE5b/TlOJ3TVndwcbT8B7OR2h75wVsv5ktDAR1AVA7l
MvA564T/Ssh1j0Ld1IjpbGC8FGhKtXsUMdywjTzn8Pp3tyY7220j5uBA8sCsfg+XQzWRVueazNTZ
0Ivs3xxxfbkvM0eocHAkDYWoWaIPujvY38dEjUWoxX19ozJ6/SGS3KI5B6GU5b3iRPYtcBAIVfN5
SspEHYyRnOV7oc3ld7cEQ/ZhEppq3gg3oEBFLv181YB1uZKWMPvU6AfDHM+e1eR32tClJ2qY7ps/
eUYhhaauuGq0bAOtWeHFMhSMImSs9nXdyp1R9J9f38HnfHy7hbw1oJ55CSDkbj55N/cxjK4ZJXET
WDd4MHCLRfY8Le+NyrSGoDR7/aOdyVnnYtWKCBikU8ldgVdQd9CnsYOMU7RZEiS1nLDfUm2Sw3VA
7/uN6fC66vAFCGHo6dhcFJeHbREpTn7renCQp8dEd7rfRT2mN1b9hSPNV0oIA26eoGnbaADtkDsJ
QIizV9iV84EjHTthrqky3ZGUOOmpsZb552REenag4ovZY217UXfjt3jhUoISgYMlzBVujC0OCFcs
5fapms5ws71D7mjNPcn2LZOk6+t+BdE+i8YCaKGnebmiMYApKsipOhNvlB0bq6V6qNrC8APs0qV6
l0RCZO9cwp1bPMiXJshnC/IUoyHAfes2/HVJ5TBelznKMfXx2/6+yotPfla2b/9OiW4ItPGQoLu5
vQkr04hRumd+RTdTO0n0ct/gyHHjXF7ft8AxVqwlbRPG2HYZIjWbRVzPyznrCQZ3XjS5WQBWJ7L3
Luj+WxZNV8Ot2dCqmmysEhjkRpcrZwEXVjlJGtbvYyUDr4jyfTob1l2EV/QNxtZzCfLidmAwapMk
srgJrYCQy8GQKQdZGJvuOWs8+SdtkMA+Dn3niRPMj1juokUK97Gv9fzJLKFPhAmFiCIsKVbJXUMP
6N9E2JIkZ46T8gPPgSs/zphKfRUGzN8QvaHkkXaZr4I5qqxmCcZ+lP290ed5FaaDGf87Yvng7Qxb
lL8AgRTlufCL4puZ2IUMJopUYucrrNx2tjlPmMZT7Lf3BvIT6RfLFhZFRzFV1aF1MGr9Z0nt/Le1
9IXxE7BFWZyHCkHMTwYSCzJoRKsPgKpEaj0uAJOa+4Esowgmg/B1PywRVGRLn0wVjArznRvx5NWn
yELT/KAJvzat4V5dLnQ5DFMCi9A+i177apIxcZ2OR5FLJKMLkHNAiW5cMS+dI25ShJzZ3mvouZ3a
3gLU3zmDrp31Q4fYbYotVQbmy1zi8c1hFvyuZ/oVLVSwgFsSQ2pNbTErfTljKT3vU5kWYV9GP19/
za6CAQYhiqSWvua7vJqXq8jD0CcjsOSzAMITInHXIa8sjf7BypPmo1bmzo1v/+oaY0C4hVTYUeUk
MN9cY+gE+tJLRjJEn0qdFU1+CJ7HuLFVL46yKmVRBqagZG1GmZJVj2HytbM35uNHVfva13mKb7W4
XxoFdQ7Mu0ARrP2Py8XrKO/VZp7r58Q0mhPWa3gEUnO5cdCvj92K+1jTC2MNtrcILwPlTc5bYp+r
ujX2IkqqsNCrIQB9e+t5u54QpiDU+VbGmAeadhNzu6Wm8/Eb9rlVix2aaiRnlzdNDq4ntJJRaAVg
Yrbq2m2WjZxCj41+8XBdUmnxRfNzOtu2nsn816Rn1uPrJ/x6Tlz+CI7xwUIAp2t0uUkjIqqTahvv
PBNnf8OjPX0q8vkWt+/FUahRoZSKAynJ0eUo1dB0UkaTdx50b3hqxmS410Wqnl6fy/M3f/m6cNSI
sqhb8ucKUAWKULPyaPbPfjvXKhzjqk8PCFY5TRjZEiMC15y9373S8/8i0YzZMYm1/keV2n12cOMS
x04H44db0pUvbCjYV3Zz1bIGeLW5iqcSe7IGo76zk+uJ81FNy9hB4S3z5etc9/Hv1xfhhaUGDUiD
h2uREslWOYEO9CibSTGak9oh34t9cOLplj3eS3NCkhu0AM0kECybDR2SodbyqPPPE2DHQNcy7azg
5Z3KZOiD1yd0/ZLBnqQmRU/uWeZns3xrvGAViAacbSsrjx4BWLBIH4G1VqugidrabzO9+RG+sIrI
iJCDglHArWaLUagl6vle1UTnIe6fCWhlqA03vSqunxe6jGtfHf35FSy3+fiSfnU3NKPonMyefF+n
af4TVpIIhrGc7vFrUTeesxeWknAS6DxB8rOi5eVnKCcVWXYqonMfD34gtLrYa7GTfdGoOe58vTXu
62lsbyFLXlpLNA7AF8NKgw+12UANGHsSTRmGKgUvtedN2tE3lrfSD7hdCP55N1fULRqNm8t59o3Z
smaY0OZS/ByGftonjffmFJpBntkNRAUINjwz0/7KMkqtdXNic3EelQcT2jLEoSic/EaU/MLHRQS1
sibpokLs2ixY0pQUxNoE2V7LSMPWsMtDiXfQyV6qH2/+ti5G2iyaZjexjBH5P/vSLHbu4lSoFdp8
wmiElgd36ICEFegJ7F8f9sUJcuItsK94pmyjHKMC0JfoLGMxptEPigV6F05D2yyhMzXt9zcPhqqL
Q1WfAuQKZ7w89ETBoAcox58tQpCPJq3mALIrKh+dZt+oHb1w0hEsXMW0qOXwAG02bknNxSkHNzqn
qo0ORdcsu045bxOKpQROpENxjBgBZCbcv82mpT6dxk5Z4oyytL1LtWzZac6gTm9eNp+ZQIImvFrL
mZfL1oscE885je8isytWMKK/LzGeeahpWHx8fajra5DOH3csKQtetpz7y6GGIR0by1nm86CS/ywV
/fYz83HRaj+MoVu8Ptb10Vth8mA7OAgr6mfdwr++YGOFWsTjNJ9RFDFD6bne3qQ/Hyo4x7vXh7o+
DQyFfS1kh1W98Kreljqpl9sGlcQC0l1rddYuXfq3uTutp4GuFdy1FaxCgXbrdxTLmshqnqxzKfR+
V7vJz37xndAa1C260vV8kIqjJOryD9WyLXdNTLWSdAx46Stt+Qi2Ib/L/e5tDsrP81m9VClTIjMF
CmfzueZulCbJLIxz1CfWAZq/dcbPELqivtwC670wIUAwQNXZIBqn7vr3f50F3R0rFx6DecZFIw2r
EcUaXeW31ASuTxxIUa5xOjurcuqWAV844whsyHHOoNroyQ7e96Rw3i2ZNd64Va+nQ+xLGoRalvFM
hrqcjg+I16zdzD13if6nt+P0ZOXKOrx+qK9DCAZZpwFKlFB+63kbxZMsctm557ldqjEwpaju3dxZ
vpEmiyHwBjpndDbnyg5eH/iF2fEcEgRSU0bhYguxmHoIf207mmfVds0pcYdHDTGBG7O7HsQD6QAW
gS4pL/x2kMgrSmuWPaGKJGdolYoC0Whvk01dj/gqJLnCRDHuwwdxPTF/nTtupqSkvIRoy2xXu9Gu
qzDu+lvIJ8oU/JzLdIhrlXSLgAjVVLKvzThGJ5tEptG56NEk3olsdPVTB4ntRyZV/xQ3yvpVWbUm
DmbSD14agLrE8xl/a3/2w9zuYxm6+WgU74yUwtFjW0hsNNZmvThEWTSY7ww6vtUed8wKLk5a4KE0
aZHeH+KqtcTOKzRzeAdWQNoHjx5YcqztkqKabtR5FMRV3k33S1ZN87GzrcEPR7/08/0iY9faaX1r
I6iU1kN315txoT/Ys907RZDVsssBR+HYcxwKQy0nZ0Q+Yw8IyLK+WkKgvTS1pR3oDsY0n6TkjjlV
pkimndtGEyz52SwLtRvU6CynYtEL+2wqii6h3ZUtra05abrHGbyuuYtwPvrTlqpr39V1Rs/QaPv4
6yT6xN+NWrTEH/rJFGlYulnT7hZu4iVInMopd27T2l/47mV8ckxhUPZPcJEBnOVY+8q1avsDOkXV
p85gxu/iyTDzg+PGTnMaXGuZ9n5aqPxUGQX61KOV1Wa2q4WO9XhdCaff6RnCrQFuj8PXMR3n/zLZ
dyoQy1DY4ZjBGH3EHEzGYLbMKQla5ThxFxRD2ZVnpae1Ajdl8hDxcgEacdOl9AfgoiOSVjNKGeUn
2wJW/C6xfWS1ahvVv/eULhP319wIrfjeSaWSe72XKDBYyG9p/xjugsJiL0Bn3M3wM5sAGQGP8t8U
IQOLFhhklhMdX8xmqI9+s7sas8qqsXWiSzMWJZgVS3m7pZ8Qcs2qgeWd5hZ/a90a4jwoG1ond5kN
mO/OXYUBd7ZUfJ/1oHpxslIw5rsEBFF1zAqCvTuBejovoMW2PJB6z7+H2R6M967S3TIQoFq+t5rd
etQHbKc9LdhI9Hu36mKH2mwmx5A8fvmURpHjhU7XJOl7a6Tg8GAvnT7cEZPD7nOyDtpsAhLGC9wJ
LBqU+3EVoJ2lVbm7cRZKnvOoybt7Vao8CufS6jFwrY2lDDFNh+4wdGamdgo+UBf0tujHYGk6jSfP
ASoYKlkMxV0XiVEFqcSX5WS2oKd2uQOWbs+bUsycFaCjIUF7P5IJA88bH11fsb2x5RkqnFPPU/d+
68zmAZu72HqXzcPU76dkjMdjjTsJ7VzsrozxI1yxpjphXq2JPQBw6f4TLYnZPfhj7v2T9Jn2ua8r
3w/TSCbVQ4yJI3qmkJUi2KnG1Ib50nKehHBEGXrOKKJgiRUclrFO9CYUZG0RRWCUI0I8NeM5dIpx
zAlWrFQFbdz5qPNRlPlQzSL7bKDg9xn/2yz7GOu+1L+201KqjzrnpT414NznO6fJlRtUedOV//ZQ
TIbdCFRN7Kyp8OsQwxroUcEAuW5uQwWitg7S0gBCnJiT94/tRhNaacpqzEDP6Hj/6JO2GMKydrq2
pW44WY9FnxT/DbbU5XFszbk46rk2PqnezPLH2QUD98GtlmI6dRQ92i+Wmtn/tPPrp0aMsb5DTMpP
glifgHw2VRJ/yHrAiQffEHw99lxE79CbdJN9xnesfsyjPjVAgPjc70eDrQt0qyu7hwFXMj0ErqOj
R56MxXj01oh233e2PgV8JSyhqP3E/5drOMqPptkObdAXeuSfZjey+hPsU787+AXw/bBxwYL/obMh
vbBHlc445sUyRgcx+bo4tBQClwe3BzP5KW2cotzV89QanxwxxcsRhxJtwtrZ6L4tkdtPH2LNypp9
iqSg3I1sJaj2Zsb/pRzlot6nqD5DLEeTDmBYHvedhvzpIKzdMAmUZwd4LdYDT21UBaqkLXlI7ClX
d8A9LdQ3VddP59IVvvjgDxI90xbPCuMhH6ZyCDrTV93ZWyJjfiDots2fkWFjA6vM0XyETu+7X3Pp
iepbRE1T+6wXyZCfi0FDZj1ZkMc44obXvc8WjZzaycbC/yqquUPMs29mW0D3HOeJN19FpvORYzLr
D3mGPTmvTtzLnWZUSYlpqdeKx8LGuOVQSatLD2UT5VOoOtEb75MZodSDB6wW1zAZzxysBVjz0ZMQ
AHdxMXfOP9xYff1j0VZd07DWimp+bGVUjQe6Yv0XV8zWHA7Si9y7TtAu4HrAsOjMB65/chan1vaD
anvj5KPAJb63ICbbQ5JRgzzQVSh0nHFygT9uOtucfG2UdkGjyRLLQdlk2nuTRlv8PsW9+t/Eziy/
C4w5EvnObrk3gzit6uaDT/+2u3O4CT+YlpDVD01hXrer64jEFhNX/TftK9KmPveW+gQgrFGh6NPB
C4pFVfYvK8U9L4BeWLc7xJsELVP0eO2OdV7M4jevTzO+84Un/GBuy24IRZnp+NFabi/uuyxz+J9n
+it7u864VVG07aOA/p9NUaTzYkJMWyxu6Nez8UXaZfsxLbraDlh6z30fa52TnWd3ybL9Ulhi3HWl
1knkFZ1eOzo+KklhhrM9UkDs0nQWS27aIf+TV3wURrzMB09R0tw5TeJ/mLUlkXxJALTh80ziqU0R
9vnozrmOImi6mP/0SMWnn3DDbPgsFwHRLVCiMbvvjdCNNMGA2arGz8soXP+zH+tLHEi6h+beK1qa
FfpojtT3ncypjwv6Sd/gI1rlRxqJMuK5T1wzQKtBgNWeZ1GZgVcV6muddgBwuH+Xh47fRjvDQU3F
ro9gnv5C1qUGf9yO1Xc0bqIEyI5r/lCmEj8mvIAWyF0rSAgjGIP7OG5HDvxktPkh1WL71zjHqdob
ksju0U4waH0o47IxCA5HadRBMeUIKa3Jnwycaq7TJ2Qy8vapUpmeUKsa+3SnED5pA4By00d6jUCu
q1kt4vPsGLVfBwnv2Fe7WurmUZHwN7uSHm0Wel07v8cUuS/2Qz539btpHOPhnSu0UZ0wPtceHK+s
MyL/PitYZtE+dtpg0SHOxBwf666L3NADWaCF8VJBQyG65DcqdFV9im1gl580q4mco2cp+2eMgm8a
Dl1SJR+ipFbizhbYDz5QChuXe6LjpT3JyEjV+8LL2irUlmx2j5E26MMPt0L0sVx6WwvyBvz8sV70
dPxojn35x+ugjp5bq9efIG5aw08/ihpjX3VM7rPHf2qCqc3i+dtcisRgMWV6bAhOzzo8Xjs0IKtO
xG4Zd6Uc5KAOfbn40b4zaookQdPLVmsD6UkLWR6pt4ArmsVxQ9DSEY+tGdVIGmnC/BJ71BcPCjA8
0IGlsdr2wakgBwWlsHICB/hIXNm+qPG29uI++Re3cs/87CV2L5+6nsNwbudKaahCTJ7YxV2+mEkA
xmUsHxw0SuRDF2cltUkOq/0ptgZXf19z4BoIs9IY9g2sWuuI6rkLDMOZkUrNgZLv9LyKo/uqlK4f
EgWn431utbn30LCA9UlX3JS/C6eJCggUnnA4z/h770e3REW70FLVHx0cJ+KwcgpVBN0AefgAstc1
PhiiEdG+QnXLGIO4bLXhQUIp0vJAaXE5HRcVp+JP4UV5f8CGaKE5JBKOfFYPnhVOebrw9cTQEJeA
FlPOrnCl1aHKVPR+QBzuc9ys0nR2myp8rNK8cs6xwFU6jDVRfpOcnhJPPr/WkF63kEUaYRXVx0lG
g/pQJLFbLkFERW8KstHqik+2q8ypfBYw5LuukmF88LFKWj7NttNz3IQyxm+lVjWghKOqScIozhY/
MNIyhxVbu2gEJDyFzon2Y/xdTlNUhcRtwIejxU92k8k1hFxxT9jF4+bMu9dz8bUvcZlYohYC9HDN
LcmXt733qCozu4x8nwqkiQqbn8uD6h3z3Wx65xjSz6e6STo8mMoZmajIam8Mf11RoeiJMjbFmxXx
vmUVx30/1tLEBh7ISAnnXqTv56mvz5Dv7RsCNs+1x81U0YGgYUKHGdXarW6t8LLJbYQfndtx9DOk
81X/A+KO9hmqv+aiICLz74jboLZZ8sY8+nms+eGSi/RG6+aFJacmhiEpCL614bbWUP+qGRQSAxKA
geJs52UdKDdvDmx6f1Dz/3B2Xr1xG20b/kUE2Mspt0ikZNmxLUvJCeHECXsZdvLXf9foPfFyFyL0
IUgQwIBnZzjlKXep27NSNEPgJWVMMtQlx3xYv77/wa8rtGgEMTSNdnhO9HIuR4coLnhYizjkhK3i
jCwHinsxIc3L2oxDBvLCq7ydgs/VmKQzYKKplUju+BUmX1Wm2eTejYIuRlaXqF2cV7c3n8ylHg+9
qu1ZsVxBhhmPyrrUb6FbC/bico4a6T+nnV1VpXQmNKsx/+kLLtRsnnFQgDPyiQB9/DOz+48K60va
i40yJNIcEF+pgF+OnHmlAiXZpE6T1Tl6jcryGRmdjOr3Mv75/oe8Kt/JoehRgOb9nw3x5VAdPeMJ
c5YoAJG5vOaFg8Vsa4tzucSkRz3pGwAxzCreH/XW0vIFaaRSdqeZsNm8LaFS7860mWItfyk8+kuI
+z9ow/CPUZPMZrRkcrveM8S+uiaki5pBRdx1YeLQuNvMFeacQmalBMLptVMfNcSBhTP7kW7u1dpu
DkUPiboo86MSfznUlOm9NJ1VAqeJ3FNO7uUvY0SMpccfJROzWehMA26APy9pvptZ2YqDlagyKIEu
xuacjEjEGqta7bRJrkqHjEIxmcq4SSmZoujlhJRaLWEiqnwxSiLHChLYASzSXkfhxm5E6pGmBQV/
aDfqZtnmqctm3Z3jMK2U7LlPG4IfVtIIW1MgAT1NLiWZqh30nd7Wjf0oaSo0TVDchcG8GVdbmxUQ
X5yF6ojXV16IIsyGWX9Ahij1h6rPTvGsTV/zpBc75+96o1BblrgeeKKUmLcdQnALdrtQBwkNp5iR
q0nm54Hc+0DBaA/kdY2G4YzTEZISHGx/rrbLbxgpmHCnc17hLeV1+V0bVfn8M567OH3KVcild13f
a1aYgHO37jVqxd8XEp7uLNwIQczINpbcZyOq/Y/3b4Mba6BjUw8YAIwrdMbNY2IbslM1j1nYqpmJ
P4A1xn4nxRL9nrDx/P5g11uMiw60Ax0riXu4Oi7dZKj00/NwnQz9b60bWw9NAbt/mCEkKliuqkn5
1GRltOzssesThHwgsQmNvzc9qc0eS0iX23ZS8hBtYeWw4pwStEQtOzfr9VoyCj4LdJiIvrl+Lr+x
kWdtrbtZEZpFqzznVRqdjGUdTgAh9i6e60MjcXwcepPVlOD+y6E6xJqbOKYoadWNGmaoMd81Rddz
Q6wCmwx460Tr3oESxofvIgamRAiNm64TO3kzcKF3keqWRahnyoA7QjL5TbHsST7eWklkO4CpcGo8
dYvSckZLmUU1FuGyTPYvBCioZBqreI3cof8oyBMFDsgtIOSBPhDB6pcTUslbOLgMFXl4Na3YvB1d
N//1/saXq3IRuDIIf7/qwhdGcW8LuXOTNWtbd+Vz5YX7ZZqRzTwCXKAsnOdAchu3tvYor7e2PMkA
RF5wK1ys8s9/i1G7TrO7ZSqKsJzX8s9pKNYHJ5v29uGtiYHjkD1IWviIz1+OQkNLE3WVFmEzqs65
IRc7eMvCfzoib3PM1eOHF5I9ARqTKhbgou0jtaCK7mIdWuLHqs7IVxY/Onqdfp+Pgadl/70/2I1D
BuBMZa/zKMKh2GwNa7CHXvUWtoZ7LJ25vqvN4puekObgohadRhfNJE8XO7fIjQ8HaBtgK+0n1BK2
TqKLF/cV2t1FmONQ+dqMXIbsSjQF3p/cjSNGzgY3CDaMVIXaPEgCX/c8VVesKHM4sCO1/HNSGflD
5+w728lHZLP9iZGJKVyJYXG3JIp1payjLlETihFBBr+cE7v3VSubcyr8jt36E22G72pbdF/AYLY/
J9GMc6BGcTv43NxZd4QCsnyr8mhK/XSKPeN+GTyjeGjzztDvXWtVCiSQddqcFV2P4eSkfT4d8egT
6LXRdqXZM3PE8BAgbHR9FZmH9Y7XSNE/eePQ938nrtdngej5IIccrMhyoq5Q6H5uiDoO66qPnQPt
wTK7m1ItWU6RaZBnS1nr2qeaHuX3CsgT7WDB7HXBeK4EFJon2voBInC9kwff2CF4IQCA59TBI9re
wZHbmeyRrML8WMtfrdid/zDmZE9i9S2b3nw1+vv03SXiyCRwvzzb6C4ubjEguTgJw2gelDFyvZdM
yejO5iuldl/VB1qHNARp0/WJmPpHPTXi8gjffUmPtT0a/6otVpN3btQ2gvrsMqMeETfl3wpMWisQ
GZD+P/tRTfrDQAE2Dj68xaWYLtoCvCIA3DbntxydKqL2VoWKkiuvBXtwBNOmaqcFgen59PHBSKtA
p/AvOvibFznTFXvRyFbDNqmH+37O4lPqGM2ZjpiyM6/r7891hAwnuRvlEFB0lx/G6VIPppxTckOs
tnGq9WIw/BUV4eT8/pyub3cqS1R3GIwE9Qrm4WReprkpV9FKXNwfmqJQj0tqGH4etYpF7XPXs+D6
VuJ6Jx4nsHl7KjfhaF30os0xTQlrztlBienT6yWNtKHS94w+rm93Cc0GfgbwA+zedhX1yS2xnF7K
UBNle9SXT1VTHdzRpTgoy8kT6nL+og/Rzr17a009yYtTATkRk8oV+O1dLjrwvYVhl2Gc5pmfjO4x
RRrloAnzZeSe33kvb2wVHfg9pmYImwLG34xWSURxlbplSKiQHMvOSB7MBI/x9/fJja8GNFEOQZQN
QWdz0NYWnMNQZ01Y0i3iSaTaCrxF9T0+585QNyaEMhiYqjcDGrLvy+UbxrgudGVowrGc5y+p48X3
Ua7YO6Pc+EjgH2XFAvA+d4f8Fb99JBcrLuhlZRN2zbnXRhatyibfnGnrGMrOhrgxI155VAVZPAmz
24RQc0KoViPuE8ZUg84CvMU5WYrl2/ufSP4tl5e5pE6Rckm/E+yyNnfGZPCuRpnNui1kuIT2Oa0s
rYD7ZtXJAc2XCYuQKI/XnZW8sTXeBOQIQSWjZas/1TliqNA+a8K2aNXzDCzYt0rFO3Yf17wnfeU6
REqTgAbhkG2KbWS4H7hdVIdJNq3HxhL9MRPjnjrJjQlxbgl4SSYpwm6rr2sC3GJt9SZcpbBQGQv3
WwmA/s4YMnuH4XpjKGDLoPveZgZB7HIXjsjVYpbbiFCx+FBENN6hFJl5WHBGPL2/PW5sQrTvKQIg
koOZ3rZmJjHUQ4bxRGgolWaCcPcU77QYYtirMt0aiMfRouUi1dW3z+Q8p2NmUAgMtRSbF4de50lR
lL1M/NYoHihm3i145UBxL1euKBZz9HqvCdNsVD8nyqq7vrIAadtZtut7An4gJEvwifJO2vJ76q50
BbWqIfSiLHbujXnRbDq3fTydFsWzqrsU9bC9sOZ6cgR9vCAAjZEyIu26nNzkznRXl3oIOyRdw5FY
gUZPXaf5Tphxvf2wdKCgAVMd+iqCYJfjtG7fduWsDqHljeJMkX7w4ZR1B8jje9XhW1MiPkYHj3/A
RWx2eqfbA5VwewDkkGTn0dBntFaUPe7LzQnZ8r2HLMJDtVk42GgO8Md4DAttKj8pDkgDv5ssAyls
BW73+yfq+sIlh0MylhIJQRTgjMvVGw0r61rAROFod1V+nOLJc85Gp5A8WE4xpCHld3yhl6KMv3x8
ZDIDmPd0AyGvb77batpqsYhVuc+FUdmHKk+T6s6sPXAsywLW6bHthR0ddXseq/P7Q1/HVLKMwoaj
uYDSy1bFQTP7BHnSvA0Qnmh9pzLWZy2xjBPqNvH9SoP+S2sb7QG8357p9PUO4uVEl56DYUKD27JY
WkN0Yi7zLhgUYd5lTcfLpqd7uOfr886acnPJJ03m6Jt7ZZ61pgfZ2QW5mn5D4rPx+ffVTep/bXwf
799fzOvtCqNEglAhO2NTs6WWaKkJnEm1UQVq0xK2Qrycc/IKVDy0PZz/mxDIZXggx5K4eOqJMLY2
eyZO9QrTuwSJHhF3zlEkYEKOAi079Tg3qZlLqCeYAQnpWY+rXquPNCDG4VuiJq44WEAItd43k9mI
vgCk7Hs/noDWnVO0tPEYj424OyBbg6bmnDnxz/fX6e3C2/548AMUlElRqGVvzvUU69mkiaYJuiJb
E7CmbWl8MQ0EFE5FUbkNsotRhRvXNGMIEUYwPzOs7o2xO6ZizoFVZyOB99os3XiehiSOT3lP1aTw
57jU3IdGbQ2z+aOcM0N/MROQDndK62Z/W3yd1c8Tbk8fgPKcHLMi0TQfpFNmPQGEWM3HiWp28Ycu
umI8xnB7kRQD75alwF2L5vX9dbi1XwjypdKySo9ta4XbjZUKuMTMYaoBc1GX4oVowfKdpvl4DOTI
+huywET9FKk2wWQ2NKkxAXAORlm86SdzvMv1dPLnMd7T3r4+1w5iXMiloXnM3LY1ddF5Hm9bVAU1
D/En0EHlsdCdYueyvjEKInDExgjbkS9tidckK13juFUN6Uktjj0CMPd6U2p3H/5AUFjp2lO+JH3Z
irKVCuAqKxlEIKykeG01fc2OY77kd5Ze18VO4H1jSnQkZZdFNiRQF9u8P6tWGYuWiGAV7quEUAYj
r/zp/Rld34cwnuQbQ0pBb3dbpwdFXlugTtoAZfvpfgW9vvr12PVpoMa5+SuylUHs0Pqud7lsutKX
p2ZPUrG9FWFImoPZ8MQkRZZ8n1tzQqAS5wnzkBNZTjuf7MYE5auCZgdSgWSEm51uTEIQO0olOFAl
o59btmjBDdprfY4XM0FlOVtoZb+/qremiAKx1KEiKAIdcPnpdGXxRN8VfdBUTfMF4sb4tahd8Zgt
9boTK1zvEkh1vDHwXqhwc21cDoXdPAZDSEMFZhermt8iWg1Frm2X/Pz+nK4HwmgNYjXACtSormBC
ipbOQ6nMPZyHXvNnA8fCPjaaD+9HaefGKZa9COoem5fALWMKzJbZB1VS/YwtcaeV89PU9PBtBvXj
hXoZFxOEU/EgdN1eGkKlE2YlSg+XrC9eB7DVJ7DB007ifr0ZGIUmNQ15ZByRWbz8Qug7AUlVxRBM
1Vw9oIfm4BdnzxKSuJer3/hGFEqZk1R6J+qXP+W3qoejJmNDnWAKpiZXDsAzdB91+eHDFxM6CLzS
Er1EPWILnpqVit6HSX0fvbPmVCtq/lnR1nUneLqai2znycsJgRD5iTbLlkFlcjBInII61aqnXs0T
X+tqd+cyuroeIKZyaIAJ0aaQBNPLFTOL1Ev1YZqC3HConwyaeqoGEIe5UqR3kxnvmSPeHI/lI6Wg
A4arz+V4qoqol4FaTBDNsfeVCvt0qqe5+TXqSY4JXwRr5v1jexXQM0E84yRhTQaI26uoVVDJB3eO
A7BYzFMaJ/fzmr7Ok3ZHCvpZi/THtTT3wovbg3KyEO+mTmDJVfhtH1aVIdRmtfl2qvrqOeuBBmPr
d423+EmSVr7Td5+nctoJIzV5rV6EkXKuFA3IHkAPEQlcDiuMLOv0tp6DNga8P2rqcR3Bdnalnj/g
y6Z8zdpm/D5XVQqys2zNr7YwzV9zZD2/v+ZXmSO/g6zxfxV+KfV8+TuKbBFgs+05iCvTRmB3EOUf
Cu3l+NBH2L9DcaqUP6Dlkn28P/Ct3YW4xxsxnyLhVv1emwfKQ7o3B8MwLocxtf8WgG9bG2u4vo7/
en+wq3uNWeKKwMsjtTNJ3C5nSc3dnoYUaceEMvznYYojcP2K/RpF1q8Pj0QuCoAKxir3zlY/dop6
3CtXlD/nyqaZVbdQ2fBsCeZRt0/vD3V96zASCim8PdK+ZUsvXpGLLRo80gIPYPuLMzj5z7wVez56
N5aOLiolOa5oqSC8WbpE0zOxVJkaqO6QfamawnkoSyX6oo9duRMfXA+lk3mCtYUiSx9tW+0k8SyM
qlPnwM2c6ZRF+IjOOgyjJK0/zJimePsmYEM+wQO+zeIoT2vODH8oqEcxfnOKaHwh1Et3Arrrw8Vj
yjeiNoMuIQX3y23XTGqaijxeAm0Vy0EXbvYcp1L2bTSUszakoLiBQO08RrdWEawnFylYVsBfm7AE
Pp+7zGa5BGkM+NGDifRjZNV9pY73TLyudyAdQbRXZEcfvNO2+BPnS9tpcOCClBb4fdGDmUUgfD6+
v89vTsglWJBa6khgbFZRG97EerQlQP75+4L83wlUG6TXCtfv90e6NR/IHhKeRpzNzXz5vVK9cJxk
MZYgn9v1EHte5Bs9rLD3R7m++fg0oPOwQCLGvwL9rglCGjY2awEt72913wQ9nU+/WsR/DVqG/5/B
OLoS9cu0trz2ttBqN4KYFniDuyB2gUfqdxMIMHwnuKKhR7C35998c348pTJWQfd8e2NINqVdjdMa
zC4Uv0Njt/NBqFBdhKd3QLmqjxqpkLhoNLOAjPPRGG/z2RDBd5cFtEfgRlUbaOiEnwcMx5Eg9JYd
ANf1XmQoMGIAq1CzpNh/uUOmrkxw4lisQNL478hc/rNbYz5xQ7U7H+56L8qRDOBvmHXIJsblSF29
RJErkHHUHSU9p9Vgot1EhfX9vXhjPhI+IOsEtOrQNrocJV2qURvM2iXB1ZXTWLbKT7OEd2TEjvXy
/lDX24JFI/sDb+RKr7FNopkXQ4f/COp2jWmBRRtKiOOFYcQnLUr0P7LaU57fH/DGCiIagYoNBQMU
4bYtutZYPWwaTDtYlcz5FK9gGPrVnHb6ZrdGcbk0uN3xh+R7Xa6g1UItzOvBCQy8kbhlvar6S83z
YudWvzEMxVK56eTa0Ve9HCZt3Zxo1HSDpUjjkzIUpV/Si/74ppMXrRRdo2IEOuJylKzyentN8ijQ
UsXx81J4p4EQbmfT3ZgL9yvVc1lAZ5xNulRXWpJT1XNJ/Zbkl1Wu7mc1j/Odo3p7FDa3zr3Hs7E5
QCJLWq238Disk6X/5BS1d4zRwd75/DcOkAwhwI+QOFNm27y28Zz1DpxMN1ARUEMOT+CWmRYG4tX5
nrDr20N3mTNQXuMZpOygElxuZYXsKmuUGJeyQCMTirtHxC/9XjhASMBrD672o3AgRZe+WsX+mNVH
1uWA3gMWHRkCnMu3xOnwJPqxuN/VpTuUCR6T8D/s8nuivEQiu3e8qTwKY/6rVX69fxSvz760bef8
U0Egfd2+QoMTZwPOChHfAiSlUTRpODVYiBmNiRZ4NO55Klx/e8Zjb71V0zj+m0NJmqqMSwaDqDbc
OWimqj7SmdoD9ch9evk9ANlTGKSuQAWNkvHlacHmpYe+syIV2DVjQERGxyGF1+7DdPa+gD3LQ6Nv
xaMdedULWda0oxZ3Y1UZmcNK6VWyszY7HNhrbWMFEId0F5IAfY3kXvdoNBCvpTxJ2Z7O7zUljqq1
xf6DsSEbN1vBaLVLdQdNuBhf5GSZ/9PcJbIf4wpU7MGahTvc5RKxcL/y0ijHBabmL8sqJbAlMQv3
9OEtBSxc1oHJHnn7N5NPhwyOdV0koVo26nE0Jz3U8Av1J5Rmv6MEenx/OLljNt+aK5FOI/13Gs9b
KEGLQh6dm6QN4Nynp15rzWCeJ/3BE5m4Bxia3bv2Ov14f9DrD4yeOdQ7khUaIJSFLzeYvlRO1tte
H7Rl2XLsU8SIISI6qROY7YKSXV6v3V7jmpv4aq7kYLgwoiANYu3KKClKpDYyXdQg7gZXOaSIZY+H
tu2m7vRGRnjEA3V9djVDOIdyUkX2unr9YJ9seIKf+5G6NWpQqpofqwSjhZz7KInykhsImAvFqwbu
cZ6iUn2Aaldaz+naRLU/xAQ8T5o+Gq1vD/CGAtENZv5HuxS18loptC7oZc/W8MWb29o5DmWVtcfJ
Sof6n2IeYodmQNLFZHTNUNbHJIJV+23RFSs5zbZCPdYpurE8qZObDCdPoMR9tmBPPStT77avVprk
+QknAsc72WJQ3Tt7lkoeyAm0v1rou+lZxBAWH3IMYDN+pgOTTB09B7oXPoivMTiTF+ggEZotIO6/
pvk0DAdtle526LMUWn4A37PWd3raq+qfiqlNyr3WrGuHpKnSjD90k0wx96O48NQTTu659pJNnjs/
JYI84lctscwxnb9lzv+bjKhNHvUOpZiHeMVZDom0op0Oemoj05GORfwjy7NEu8vLtUwObiGAJ1HJ
sXP1IVFrl47pnC3ZzNg5Ck7OacYtzjg7ueM0wTA6c/ItV+s4TnyPsAPPAtPpWsjkBE8+2Dtt+ux5
hc5R8OZcHOYxhUHYUs3V77yscZx7pp0PB6NX0+ZLtPa5LmVGq+4Fw27FQ4pCX5t7/IKif4XSr+UL
lP34XxtNkuSUouAef2oazY2ag1FFcL2nroDYXww1WhYdhSqkoYa6E/6YDpZ6imgGl8cJ31ATRZRO
VZ87gtz+O3CSWPu2UFtOv4IW7sfAsJYOYSXEriPk4GskYJKsdIZTCjZUfBmLfPxrNdCQ/sQbNnqH
BFWg+JhhwbfS0J3QukqQumqPQ4EYx6mzqiy966timB8WtAksdB+qpTnzqdljhs7dd2+sdYsjeT7b
SZg7WT6dVdbe8VN4485ftLK9+F8xa0N21CbLE9BbihYOaKWW9WfRpUl9XN1JlPeicbr8UU1U/c80
yewce3EjiYO6nwXskS5x+FEJ4shPIhHw9pGLKfpDHSna19Fc3PYxzVAeORSTPlpPOp+dNmCPGsOj
o2f2J/ShhswXaZx3jzG9T+2MhODofF2g4SXPaR2VxefUA+RyBBsk+lcRL+UTCuyIlZQsVH9XO1qs
hMmYwfVGVcXWflQYdf6VIzeCpnKJxNmTogKTOCc0RpY7nJkXNFV0N9JVv8qMcjoZJq+nFgzlMBrP
7dAm6ffJUhbtsxU1iJDmsACr4dAg1JcqPp5Ii37ilcVaZPZmWuKUpUQUzg6iUYc1RSv7U61M4iWl
RhUZfmSU2acm17rHeapHBMLLudTvnLY3LMV3ofq90sqP5hoOSeGNhY9kGVfeEX2lJP5KAhanRxvn
qcY7mrHidOfO6quu9mNrVJi1EufR2QBlpj4tBbezH0XlEAULtfEX0PJuiiyVZ/0g0EblH8DjhO5Q
Mur2AZ6xQp0zES6uhtQrxXFWkNJCC6VsF45jPszYong1imzOgkuY5nZAoPGFrtJjLyYncL028x4m
NWn+NRK2+UOO+lj9U1DCcwPFcEug+kue/dITM81e4f1E7UOnzeM/MOJcwzcQjvL8SW1U96C48Wge
Vyte3LuRR18J0xkboyfVm2MjSATf9qs14ndwp2SGU/qVFovkJZ4tKnPVOrfzsUUTQyCUY/RmoOZu
ZAC1c6ryk8qDueAFMlkrJJY+RRM1qfvpMDVxsx6dYXbNzwmelv+AoRxfxqnv1KexdHMXKTYkGv0q
rZbxv/ef1BsxDOr3srTMpgU0tAUfioxtntSrAWs+U0/wseajsprVJ7yBksBAXfUODSkTf6Gx/TSa
AukXTEPP7/+INyT0ZTQBnQL7dZgV+CxeGfKAomtFnZhGkPdxaR/mNc7LE/EM3KlpLARMrcS2H8TQ
Qf+ZSjKo74YmnOaHVirLFy6jShyrdB2Q+DDWdrJ8JdJyrTwI3amy5GS4fWE4PgezGkLX7QZkJEDC
dL/0nLM6zZU7nKOuG5UTSJrZ8wXkLfPMDvB+LMJoedSdDDCXPw9dXx+aAem2cwurQa9QtqKP1vr6
bE5L6dvx6PxTTlq0fjZpze958V6FP1KPEY6jVJuEPb4ttiiI5qXrWKVhheS4cVB4/luf85u4d0vf
oHw22HOhBu9/m6vUgUElQQ9INokw7ZnLmCsGXreiwpSGXayNp1URC4ZJ3Fz/j1FAzcHRg85Nlfhy
FNEs1bo6Rho6RTI9ui2lzNzqrJ25XAWtoDHIFmVvAKgVqcLlKNOI2aDp1CaBnG4RAcCBOShoGTxa
mdKFBK1ewF7f8z26XkE5qgQEYiFA03WTEo8edQm0usxAIARXox6E14oP0WLeKSPcmh0MR8rctCjp
gMg//61zlxuUjPBksQKAIMN44j0d0q/jpNXGQW/qBXyNUfTjwygMpd/JBq53ppRsYJd45F0cv80U
LYFKGbsRKZg1/Wcop8e2Hf/2cue/JIn2fA9vjyXLMjC8kACRf/7bNEW1WM1A8zlo4a0hohRF3V26
qh4OFAYKAFSqXz+6N5kcAmqSW0Hrdwu4QhRusXSFyU1l3xw8wX2E9KA474xyY5uA36TISeHsjWB2
Oa+pTZ2ornQvqG2YvScIX6buVzrAsoNlIVZ3WNBlbB8s1DaLo1t3K296sUDJw1RLeRBpqif3XWrF
5jEpEiuFPucZijhZq5jHY+S01fJg2iJF4ipzRjewpAeafdCjEkE1pejc9EfP0bTPOlKVz4i/TdB+
1bhbD0QrRvesIavVP3vpHEd3DS3iIYiyMe4Cq87THnlD28mPJdhSImYSP3RocMBBGrGNXRWv5KTs
+T2FsoSNtkK6LWahNPdWlGbrCe286KWxlWL0vcGb04/W8MB7SaAIYAEAMCCXLtc1SxIzSwoV+VBE
j9KDjT4cbH4kN3fgCNffj3GoPchyIeDULZonnjV9EDrq6prdZYHXW8UDimv13jbh1168lHI2gAEo
exIHoRp/ORuDFAACAoJDSLTO90XipgfTGPbO81UVT46CxLCs41Jg21oDi7ZNyPnZiyCSqheBSO/J
TKP+j9rwkp07+XrZZNwhualUcyWQ9HJCM2vWo96WhI1RFc+6Por57KSo8O7UR+Rnvlw4KKg4y9My
A9XAQbscZzGnQa8nJQtXujT4JWqQLY6EjdCIu9ZcF7+F64ZLlqMMtl/kZb/DG5Uf5nL8N8q+BCCy
OWgTXo5vWHVhVy0lP1wB5wPKuegdO+m9awzPbjHuvafXHxD3YyokKl+RSsm2PA4ptKuGCgmfSIif
mlpM58qAe7taoNF37q2reUmXSEIS2u5SjGrzctsxFsF0conyi5RSW1n+a1XTh2FL/M0wbin2058A
yLZ5Xxy7TvU2VRSKeilpzTgTQIvxw/Q2RnmrJuOyYlNI29wUQ+a4wimWOIyrufgbOEEdzlaxp3F0
veEp9lMMcjx0qCmBbEbJwFmQsDtxqOYFdeqqjrwg6ew9J80bO0Dqk3Md0V4ipN4MEy/t0OVLmYRK
lZh/WKthBJhtzaE7pvrx/S1wayiUuKi8Ug2UwIjLrZ31xbBWnZuEyItOB5UW+xkh2+wJyZlmZ7e9
bdzLY+RK5rwpDzLEqDcc0W+vf2t06DhqsGKnrDbH4+CZzei3VcOVW1gDxW3gym3xs620TLN9TUOR
0Z+LHuKglSyo+a6WmxSPPaiD4kGscaqd7bWCa17hAaMHxpSPyU5V+sb35udyGqVXFvnNJiwDaFz3
faNl4WBSQ7zXqEsb98Pakna+/xmuB5JRCgAHHZgNL9Hmi9tmubZtHhdh63Y1OUKZf7G8dM/A6voe
k8tPx400hMbLNh/IcxPXDbQYwqFQ4ycEI6VfcjcibKvBrEXDNBI7N/eteYEmREoDnCzNks3hNzFR
zbBQhbQ7rMhyIcGbntIoMz9+yXhgLyXOmE0M2n2zfm2G96yROjD7qc+HVP8CaAVi5xm4Piv0RaCv
yJBSR7hq8363nnC02hzqUJ9Jrg+tO2dIfg368IcKfnbPp02evMvTIlVVuGMIXR3aW/rlycyddRnS
Hm6wWy/mUwMbYaVSPiglaiFtVPgaaOri72Qqqxl030wpivscbYMPb0yZcCG2hp20hDRd/gpHiTpy
Bgr2TmfHvrUWyiMam8r3D4/CSwQ6ALyUjKLlyv92M8x1KsrItqJAxLn2CdJJ7+MsUO58P3laf19R
2WtEkgbiOg8S7e3NikZuo5bRBIMcYYtB3Hnwqpb7uFTH3Edxdp3uExdZVL+2Irx635+gXKbN0HLn
UKghu4PKsNk6qh072KY5UGydzEUmdtaouWv61KPG7yStn/BYaf6UDipBNv3WneG3x5CZW5CxoQhS
CoDAt7nHZncal7Is67Ava+XQ69N80NUl3ulS31hfbjBVXixvOD75K377iiTHMVYqax0Wi9b8iUJy
VR2qvhtPs0Uag76zdliy1P7zo0sL6lliB4nNuGq2YhXzgtC0plVtCNX836xdmq9aWc4nVXaBo9XJ
7gAHTYe+s91v7w98vahoSIIiZEuh8UFv63K6k4qhA+oZbZgaHq4/EAefRF/rO5t2e2fLadGkw9xQ
liHImS9HaZR5dSqz6UKc3PogcWnMDb02nTO9mA6LaWR3H52VQbvMI54HAYKAz2ZWQ4F8GcjwKuxU
yutWP4KYpxy7M6vr8wABFy6UDD+Z2RacgUa16yaqK8K466Pe1y2KuAdh23N9dArtMKr36bq0bdAO
6p6T1tsrd3kWJf+cZiApJdCprahO01jZgABIG0bDqseP/N/fTlzEZ1MKyh81cNmIgHVCFnfbSu98
O/eW5j7r49kOs7Xp8wOJsab7QDHwpWCGJECZB8HvpCzump09exmKT6usQsc+/M0xOZcDKjdPWtos
/639Yv5D9D/WFPDdDJ3fOJqzoDUKyzmolkIhFwHYtju12I4WUMm1NLqLZjFg3RD36nNPjZzielOi
rQRWs599RKvr6aCobhT7M9bEzmGKSsN+WKLCiz6tU29XZ27UxTp01rQUPpdU1t0PWW9pqMBXOsrO
8L7b7zNq3N6TF2G+46eDTmevb9P/DGN2kn9rY+3XH4ZiJtk9uLFG0KzDixLFtGT81pRGW4Wzgij8
sYwbz3yY6lmNjoaI5yhQzREDARev6fGRVoTxPEce61aXVCiOSC8YdDKUAiVYpbGtV5CuVRfOXTW+
mp3R/NKFmlrHFvnq8pB3y7I8JIULljuzSHPDCijdR2UVeYHwayI8xaEHiNf2LbLrzou1SFBtLrwl
zHMsee2u157F2qsBXgP1F9ECofApee8Z92wDDGo00vKSMeXBANN7edZzp+b6HpY2JKzNXNasXX7q
jd0IngZvGdc9Is713UKkhEgclVsa88SFl+P1Lp1dOxJdKNAis++aSbHaR2Mt7fyQCmF/S6p8+KhR
N3NEWAAxQR5Bae+5mWMMVgonuxVyvMZThGxj6ysG2VpurB/VWHsbijRN2gdJdtPm0dWjeuFBhxxf
WLwPsh8m7gVSSi914zW4MHj5cH7/8ryxoKgsW8B1EIaUyPnLBS2ht64rtfYwUQEighSFcnewkrYy
TlFsdh5Pb23taQDc2DVvSjWsJ+I4ENIuB11opOpJ54xh5mLj7qeaGp3UvkdCKYdkt5MRXc/QfnuM
2C7SqXgr8GJViUsaN08hcW/xB2kwhuQwH+7gwk1fhjzbi1xujCe1miB+IuLK2m7izyifEUHT9TUc
TV3Eflpi5OMPKpx1f03KkaZRV0Z7eNXrFcUXE14f/xCTwuq6XFG6iArOP6MaTpZdPxVzVdxVdpz8
bLmldxK/W0ORlKHdBBgH1tXmedc7vTcxZ9BD9OTTv2qlmxFUp4EftlY17AQs12M5kj0rVUroFoJ1
v5xWIrRxoEZjhKsxDQFhjfaQjFg5TQ5SYx89CIQrBD8UfIiOUHy5HOr/ODuv3biRrl1fEQHmcMpO
EhVsyUG2TwinYY7FYrr6/6E2sOFmN0TowwzGc+TqYqUV3mA2EwojSWwji5KHpA1yui9bPXue9S4+
IGPXvXs8kKTcZIuAwaLZuMozqylGx9xU7ABbk9RXYoQ2ikw/1rr+DI5FbHRrXrUtz0OIJXYgJ6JI
t5DYVpmEtIZYU4CoBGmP9t4OXYE+3+VhnSvPYZ+HI5igUKjUqzMK46MWoRM9mmYVnRQVF72v8ahW
45Har/Pr7c++fNbV79JR1oG+QLGadtVq41KCyzRZojowdtgSFDjUHHXFiTaq5bRrLsehLE9TjPok
TKS1wCMKC4K3qovZtTHopmoRI7yxsUEwPskmFbQ2287GuaPEAbw7TSGgq72AajfR5bCb+ufgGPl8
yOpaOnvEEwz1qetcjBLj0h0+V3Pu6l8yN8uNPXurwf1F1UbrONi5S5uXDoWyo39k13e1LEMoDWNS
Nj+6Qaj1Q27EYXTkjsqqfaR37kc8gVPvEC5GSV9sOtH3dIW5O3TUylV8GxAnv6e/UmHVhkDfcJd5
ZpPfEaBUQQWUi34ygb+yw4/K/VI4w/iL5AwszVTTzt9nujuYPk3RxN6BzYgMHzMSXDza0bD+iDxs
3BuQswXYqXIecIaIWuinrZsr8z7GrjP/k5sYTPzJon6Wt31sZOGexrhhBkUIGPA4y5g7XJVpMf+t
avyMPsBgBFocI9dYHA2wFM0vkcdFcpJqUfDOhFzOaNuHmHN1FOQTnjzIOf1tDtc7wuVdr9Mh8hEk
y7sbknqz3qdaYX5wqlR2H4bEs18Mp2ynxWucRn6GKIFytEYP4ZUYLIeLVEEd0oO0nTDct0YRP2GD
V3p3oHdw5WlaNLBxNopG8q/Z+UoFKq93OaGOOJB8OsWtE2bCxIlwqJpDKAdNve9yNbQO8JuBnsUo
UMDscJoCm0xHGA5akU3chcfSU8UjNn7IDwJdU7RjD1vrNxqnyrBriGjVezruVgR11MO9qxQTTjmq
q8zzQYnpk+0XZ5Bf1tBozUnV8+brhN2OFxTUIb95cWY25P6pHp+Mwsu1g40FVftlHqEdbRya15Rm
dTaB7y9VVkgXENSXl+6f7DjSxkrXZlKeNDFQlCn0pPqZaIv7uIX88Z/RRWH5EOH88VuP0/7OSFje
BpcWez9FdHt2hpVV7rGXqvdsZkaU0hgmLN6Zual9daRCOboO0UO5dcuBw4JUTReePKFN75V8oAYE
loCQEVU0Cm7rIqIzdXNkWVUVGElRAFYq2w82JlQbCeKVG4ZmqrXQBKhZgBU//1qaCPvMbqM66ExQ
wPbcxoewbtqTUW7Siq4NxYSWJH6pjawz7LxwYqi6Ux1Y01BiTeWMH+dM0/54iu1uVEiu3M/Oq94V
AeJS2lvdz03aEm/YXhO03mA+oEmiHcVQOTfvfQVoTyDChy4eZFwe2vNvxz3WYwaYN4HphOX96FbF
KSFWfXfksozC8hDvLjW15bP+s5/x4LHEZKRNUI/J9CGKWgVYZQ6GEK3Y/fsnZFBZWmpY3EvG6rMV
UadYehy3QS214uAWttgTEm6FYpeLQweTlM+AYEatc+3Z6ykoBWXa2ATzWDm82vRa+tCMN2KHy4CW
UVyXSMxA9BzYzPlnUyhAmq1IqBrRuLxHsXg6TRrEyanV+7uYmu7p/d+Oc0rNn64Cf67GCy1QFUDo
2iC18d3Kq8g41Grfbszq2rczESo2LHUhoa43djflpQQ1sKxQkh4aWYDyrJ0tDNDlSV0MB9CIZ9up
JAPLr/hny/GUAF0v0pa3Wdp71ZHeTelp/U7OVbgxocsCFUNRMeVaoHjKHXQ+lNEZRD/JwDKB19oV
ffzi9ulpHjTDV2d1JCQpDezXtOe3V+vaDJFgpD61UPjRkDsftsvtrAxtvaUulqY7RE5VHCrxZiWs
3dqI14aisUW6ynALsfd8KEXOPT4CuJlaioUjGiLOtIf2TjEO+7fndG3HL/fqklHBgrdWF4XtxYo5
DkUb4H394KBlBRgvkYhoFgU3RriVDl+0GUkWeTrQ+IW3vqgKr66/okuVRKiMN0RZeq8lXf4hch15
o3h4BJtT6e1zSZipkDW/DMDyH4e4wm8Th9pvYdQVRwmuYRcZEOC8JpO+FUbKxgX96ll8HgvQrkKc
conTQQytwWyjGPVcSfEmDIuumo+elRGTepnqJTvSxBKwutqm4dFqQLP7btPGyr5tLe9LLIbppztn
9uDHitNafjqY1XCg/G2PvhN5XIyJbiGWVTIR2xfaPIz+CCW+8218I5+Sjgx27wyplaL601XxxlIv
e2Y9L28p/wMDpHi89momPAw7FTBt0KDntHPjQR66AlPGd2+oBWyFihHCpeypVU0giV3FqaxKBFOo
d3ujjJPnBikeTBva6jsyp6TQ7x+QCwdqLuU5pKqN86MCmHe2xOiKIMLBAXgxxpNpPZpPOm7ef7U0
DDdixYujqdGvwVKEvIZ5Ugs8H68hqwSSNPWB5UJ89w295uqeW+wod3bvGJ/ent2rqOfZqjHKUv9D
m++VgbU6oFUlQrvBKRcFbq1VHxvazwNcgqbwwHeZZa358TDp7i6BT+4cOruxil9YP1ZotIeTrd3y
qI7O3dS5qXZo4jSzv/UVIm7+VDUFWsbCbnFFajQnnPdVF/ZeMMchxnSkAnaig6IAyd/c9SIf4ep2
6GY/aK0ykM9Eg4Zpooyld6qLQpO3xMVdvBdT5FFZn4AJqx/HsQ7F71ghZfxTYirpfSmNimTIVNEh
vtdjO5NPQ9s5fywtKn9Qkl/6X8DkUZtL8kx+T3k38bNvjMzzc6x2w0Nq587jCEIl/2QkZvoLCoD7
2VxIQR+9abasezl3+Xhfj5Qd33v7w7UBu0LDldXnHC3H65/3bYS/Au6n14IGrMDB87rezxOwfOjx
b3HALrcYQ6H5i2DKq87maktDmnIxGLa1oEjz9HNTKmJPCQ+WgTTSfCPqvXgAllI6ESJqT/AXyX7O
pxWNE+bUZacFymha/3lDF0Px7FzzExqH8anUanNrR/MXnm9oHhsA6UjfLdq8a/ENxewU0HWzESRc
H81hnGaRHOZZpB9FXGjvFbDntiMUgUZIUkenfl17KhO2RlMJK8iSSN2jFur6rdrHvqGOv94+qWDr
LmfGh8S/xuWFQwV4dfW58eh5CELPARGkEv/Uu9Hrn2x1GuYDRTE4GeHUG/FOaF0jPrXQbV5mBD77
oEjgB+0GNjj8B6paGJXKxLsXpdlTLShdUbePOkgtz/WFUvbzRw0+y+xHSIKUT5hbJtWuHBv7vqF+
n4HGR3twP2tDavuKo00QNucMqkQ2dBgERQmyCX5tRvUILSWP0iPAlynbCz5KeeSKmfTneapiZ+9q
k+s+SbOpUW/IOsuAr1C4wPT7HGPYjhMm7vm/Mj+Oij2OT9z54bzrpQU3SG1aEX6PDTf+gTIh7aso
nq30GHr9oJ50BNTtH4WaeAZgEK9SnvE9dK2DgtlrdLSsGegqVpSZt2vo2OMdPOMnf1/lrv2z6GUR
7oZh9DI/nUdoCRaJ9n9qR1uPe6Ls7BMuQeWw9xIr0W41I+o7oARTSgxRQAHQ9qlT5CnOad0CVk1q
XQn/QnLQTD+prNHeixKNq2NhpEmC/fUUf8YYHTNl+G3ef80wK/NDXtX5Y42q6DNRDH7AxTzl8SGX
ivOjp/oH/S9ErsQfrJ7sRHZLhyqJE/d3NqsTtROZzok/T2qtHwVbH+veUIl/o4sVFn4D9gg36ypJ
tO+RMvTVQY9zaZ/SVs7uzusSNd5Vbp5DxsZ2BLb1aKsvhB+d9yHXEf18GCaZVUc3T2V666IPlB/V
GJ13LONJFAdf7zVhf7BiPe4OplJ6eDYnpFQwPacUWsjbx2GNkFkOHg0+/gFQRr9sXSOAYF5DQbRJ
Ompv5iFxOwyGjdhVwQDkpU2jh9xnwrWi05PTaODCsOubqd3CHr7mn6v7BmELC9PFpTjCq31+wcF8
o6sEpTLQLGm4T5iqx95NNhNL7ExpqPVJAf+h3bl1n1QEny0WnFRQrB6B7ShKD11ajv0HnNfd4pRb
ZVicGkXFVHmRpGn3NOGs2O/1ukZSyyuV70VYTwZFzz7zjjWmr/0ud7viJZF9/8LjjOuZI0Vh7vvS
y8ad2iuq/tRUdaM/dUVm/LQj1I2PyhSX1q7K66G74dQayYNZ8/xgZD+JSfW7spSgriutSTdim8tF
o6mq6jQgIKTw5+rhcYselaI2x6u4ypzMn6wycz55NB3D2xFyxYytDh3vfVKoSoZpeougjC9lYXXf
3t48F6Eqzyusb4AO4O0gdqxirBqeXpSYnReMOBbsOupcdHTNLTmX5W853xlE969ca/T0oOKsnr7R
w5WuEooX9FmvT0fgozhFzioWt66wsnvDLI3iEPWhcDZC1svPTApJwEpYt/C819Swkub/2JZqdtc2
fU9XPjl2miMg13a3DDpjri7KfaUmJ6vuXt7+sq8t3PNJL2NTMyNCdxfw2Plx8OLRlYALsztVhj0V
X71vfiuumj3baYTEQ5So4ktaKckLeIK6vxndOK53ioLWBNZFlXU/0TX9Dr3AK4ELl4O+d4HzigNC
m+PwEEu1S45v/+LLvUATY9HAWaBRgG5XexLwc45BcZzfoZIrMVhvxlNGfX7jurrcC+QrHq125GUB
ua3hr9QszDlSmuJuFko4Bh48xi8aNafkaCcqZtPVwRvH6ePbU7uMvag5k+IDeIF6T5vxfC3sulPr
QS+zO7wCnEM12vo3xygV7sEm/WradfVeLUysfOi7GxACF1qicYF0yywjGaAn32lI1dS+yQ2NQ6uy
xae7smSv+iGLaPpCC1uFyiTCcTm5Q3ZXW4isTRI8XxWNW2CFyyWjyk0FgToC6gwEr+dfz8snN5rB
KCzV+OlGq6PpQy+c+uMkpHjK8qT/Zand+OW9S8YHpBlM3QmwIKLs54PSCDClHkbFnZtn7SmpI+3F
Rffqt6c02r7qa20jPL/8lIjUIUitLZhg+AZLqvBP1tERPQlJM/0OxFftJzPFT8LMYvf2rJa/5fxS
OB9l2aj/jJJpJr0hQIh3amLGH2ww7kij44suwHx9eHuoC0oq8ENMX/kPwnHUWNcVoHhIu2y2p/xu
KET7n51Kjyc17mqL/toss5sWu/jwaNd0qA5zasbNwbZFonyisJS5u7DU2Uhl4o34NeUFUPQicvov
ll3XP5LOy/9ypRvIR0y0Aw1hivZQqrKZALEhGfBI/WwAStNrSrub8kZGfifMIt8VZRg5gNvoLe0r
TRHGAY/t6qdSy1k8yX5Io98RDuqhHyq5/IIR2pg+UrTfdMm7WAcKi9Yi4UcdHd3pC60RbTCBkMVx
0BKS7K0Y3QshW/1Q13b63iV/HerV4RA2Cz2v8yWn91vgtxbFgbATB5VVk/gzjH8WxM+nt1f8Ii1a
RuIxBzVFK4zq8PlIWWKlpldBmBA4HPlgeeMX24msGzPVtf3YTBIyyDDcuZPXbtyvF4fndWTK+FRr
iCLs1RwLNOvdoeZzjlbn3nDC1FMHznfjNb82Cg0DRKxwpljah+fzwzIPyulcKLdu1HSPtTv2D2GV
Ou99BpkLxXUEgJfXkH/PR5nBPyqgj5Vb9KaTx6Ya67u8s7ZQWVfmYtEh4J5ZXkEAb+ejQKEiPM4k
Sj/YBjinpGrqjzp4Hvvm7T1xcXcDzIUTT4tKo6UGx+l8HLQzBhQ50ihQbLX/gfS++x1ngw5PAzlO
zqehKkR/mq0s3Hrnr5wwUDaMCeOSP9b4UjLShdQTKhDw2gVmlsQ1NvNFS0mg9bxk47K79jl1ipLE
lhxmktXVNDPy2BGUaSA6x+uPtMr0am9VNlfO29/z2kAUN5BrQ6FIvWCw12EWF3kYMpCHmTbCJ+KG
VnP65f2jUDx+5ags5ZTVdKB7ohhcDFEgHeWv1+jpIdPDLSbSleuCnuX/H8RdHSfudxh4oHO5Luzp
e+EJCm1WKPsbaM/xzybpjF2j2RlXpEkm//4JLiArAgrIkxfdZpXORC/dCshwLbyjw4voN7iDb2RZ
1zY/FwZ0ClSMYMWsLsQIaY++ids40JxJHKu+kvumfraaR3TrzWNOILwxrSub3kaBcKGcYvQCY+V8
G9JewvDSUpNAD03zp2e0+K6Ooz3rBxoc05YhxJUFJJ6lbL3g1KnHL3v1n2CiHSOIWZ6bBFNC5WuY
kf7AB7Pe97lH/0ZNtZuQsu3XNI3TaGOiV44BlxY6sXi9gP6/4OaVSiO0DK0uSA7DDSoOpC5WFW2c
6iufEzsnAk563rAX1i38BhnGLk0gnkGs1E6qNf42AI4d6jZx3z8foHpIxEKIoZSyBlo0sSYHOTlp
MHqyeczqUv0BHinduIxff/BZ+IeP80L7W5rfgLbW7+TYcVdOVZrCZnIU/CDgmw3xQVhLZ2N0HZSS
uMNpfM2RoVjRru+UaSRyAvZO73NURjzOm0HspW5TepvjAdlNI3UpLOnoiqn71qw97a6q467bh7Kj
A6SC+/lauV75nyyaHsqNl5hfZsBR5kPaKonpz9gQz+0u6lPL/gSXnSiwyHpLP9qe1XY3dmHkzccy
m42XOFKB9b99DVzkZTywcBCAQNNgwDJgFQ4D6+cljgYsVvEjRStHTHuBz6A/KepjIostfuHlfiL0
wHyJ4IF6BNzw8wNTx3RMUmRVAlHCFVBTdGkwNcx9OPtbuJDLA8JQqK3RVcSBiZzzfCiIjGHT1rCs
erRaj62VR6e6Kv+8/fku7zeaFx6KDuAc2btrAdbWrOwwV1BBnQo3OZjeIL4PupvfV0Wl7dGBHR6z
uN9Sfnw1czrfxOxfynsLMoCHcE0y7sxsaqhrwHUQWW7bfjYokXjUF3jKrZKUIo39zBw871Eb9bj4
iEJWbQI1tAQKCqWqhvFnnEp79auS6tn8vax65aHN5lL3R3ZvsqPc3X42zX66r0a4hZClXBS7IlGW
wh/qUEfZyCxh+6mVyL5lFTK3vkCRuD/FkVJspb6XVyy0/kVGgOoYSKJ14aBuB4JEu20Dq3dqy4/d
qrub9Fh9klE3fVX7Wp66Lp2HuyKehLFxXVwCbIlEORoYzlGz0Lg7zjeRpmdTbqQ9LV4TMbb94JiC
dpExK/ZznXoy+yKTvBb3Tda41TOffopuNZmVfwF0x8aL3YhJ36kJJdjnt/fd5eZenL6gmBP/UL1c
hyceEavXuaIIpEG9Rp/E/EFD1+G/t0e5PK2wyjyQ0zSc6ZytrUsSp0/Ab8HldCYg/H4NZDTZjRFJ
7Q3003nLq+LyLlqwGWhNw9FdmHurj43ei27MIYcJ6+C6PJiuQrvHAj5b7+bYHl+szLB+vz3Dq0Oy
rDabi1tpjblz67wdPTSggxZXr103qPahEW5/rMraPTRptmV+dHW8RaII7BCP6pokaGOVUCAHxqU0
DmF9TIc4/KpnZfFE45cnJmlpo2w8rFeGpHaDdzvMeg7QOsisWlUjz0nqAIS0uFHitt3pRhvfYKfe
7jNEdzbi8yubBoY6mjrEDaBf11opCJnVonHjOjCnrD1qWj49DFnr3AmE7LaO55IJnl+EC5mVy52j
QHC59i2mM2eOqi1BGOoRCJNUWpMDq8C1v0yIp8ogFbX7sTOH6iOwfHoeWcG23VldZxbHxDDQWLQc
0U0Y34mhPLy9tS6fBr4BnSEQR5QDoPmdXx2FEFlGqbUM3KaQyPIaB1GkzV8KXMVubCnG7OUg6o14
+9rH/3fQ5d74JyBFGVbMXQgLTsXb6ijywttrZYTypqpV/8M6E3y6r0qqlAiXn/LPUBPC+gZcGaju
ZqkdS96LQFcLucc+fUv35LUkvV5nYnqKudRVoDusp0WzC3SLVgYh6uqJ76gKspGREQ6PnF8+bovl
TuXr0gv/m/rKHe/1eYq+U780Wz/M8/S9WsjeoohBp48AZmnZrINVJR68Rguh+ddoRfpKRxVt7hLv
+PYOunLJgxJaBO1gioPVXEUwnWIMMXLhZTCLDKNRyxSANZ3m9PYoV7YMIYS6fF4CGG7B83W0B3NW
BqUBRx0J5Qad65mLr5wDGXLvvj3UtQktlSNSCi5Aws7zoegKz31s2tC/aesDU6ix5K5z651SASwO
p26p66BztyAYz0eBHCUEKhYIFgwNIvxKbTzKORP7t+cCi46/Z7UpKY7T0gK5Qrt7XR8vvN4JgQQP
AeZU+fw9AeI+/zCgO4h7o4jKvNrNCs/3t1xkSkHHN6kbcXD7We935YQl6Cd11jBQw9Rm7A92ErcK
nVaMJm/bQZn0/4qsNr4CAqjSE9U2HOb1NFO1nSGtJtrNaWx8Vs2crEWAJHEfSOZT1FztsdHcQ2s1
gIk6PBXsm7gctfautcjtfQompUCRi3Dlg620c5X4VqolTuSLBrhn6osyVeLT5OiRts8ntFX3ldub
FUSWMp99p7faHByg6Lr+h1r1k3Mjra4og0TJ1WSno5hdn0xr6Lliw76TkPHipthNfQQGIsyBrNa9
rsXPfVk41aEjkPR8QxNW9KjxNsldmaZT/hxFQLRKvx8TPfFTVR/7I9qydo93SGiWN2WTO/bvstYn
CWvMnepbFDRL87lAbAy0NI1e53dqqZEdOGmlFgd4GEn4h9m21s4QbmiDFwkNlQp82SO0nUgPybAZ
qdxjzWo9mFMkom9uY9ffw2EWFKWzBhHSlrJ5c8I2dfgxUdqt95YnbdMfhxZ/cicxleYmNhWZPDkT
Sq5IOuIH2foGlnz5CTlI/SXqR1jWvp3U6ST3COd2+h9oxNxa6LIhySr63Pks5exZaO62YFjKFn2U
LCnxo3ML6eCFEdsCB3bs3/LiYe7I2U+hGha6r1Xz2ByNUG2UfSbDxPk6Drzt/mAbYn4C+9k4fCkE
nHagOSfte2NQxfV700p+zEZS6pCDerM+IMHjOi+TXsrnXM3Rl+myVswPnhqL/NSh/TEecF/lpQTZ
0cKd9semS7vbNKqU7mbU6h5pZ8fjpoLuyabza+AEhW8Qyw1HrO70P4Nhz9HXt0/hlRtlESOgrLq0
qC66+CbbtigzpeZhSFHoF3OP0nNUNd5GEHXlkmQcsKQL2pu6/upO8VDSLbGnbIJ8zGBEI9+NRPIk
IQv51EjqLWTplWnRtSRDhtUHqGSd9EA4GXR8EJsAqlqzV+Mm/KLDyNng0F747nJTUpWjrEOAiMPe
Gi1v1qE9xjaylcA1vPAJfEz3HXi59pwDrO1+RnTk5g9EssV8M9Uljo9V6jVs2b6UrnVbG6mVPUyT
mzY7r6ahHLS8ht1O6Rz9BRk/XTx20zClu6jFK3dvJ2bRkAyF4d8k6nPUyRvFSD9b3azGH9jxRveQ
zrMtb9sEwKY/Wj1EVFXp0ERFKMBN9hUcheL27f2zlHFXd/hiBb3sIOQfLkQntU7zWtucAJ+btb4o
hSMBlUYuLUELILqSqYjBFjb4IzU2oLFZiv3n7R/wupTrX0D9AFYEWQ/Y19XOsiBGTIvrQICsg23t
x9mrP4RCSQs/b0Ncl2Wceepu0mvr3rWVdL6T5Vy3e6OfdM2vsoLmoOMqrUHyHZXpzla6UB4KMxX2
DpW6Jj7JsE1+yGacPxTAzbfUga48graBzh+vOsKIAGrOH9tcxRlr6In2RzBHflP1+wpJsV0k2nui
XWsjVrkSU9OsYdtCWNEYdxWrZKjzaogto0zlzK1vsav3NRr2M60bc57vOEgbbbUl5VyvDhEe2Gcg
XhStlun/E+SSHcRVIjPul2xSH3RDlnAVRYfMfd7c4DamBlM2uyDjOntjZ165ArD1QXIFgwTax+u2
kdLbEWJ1ec1UqTfmqCnum7Db4stcvdcgy9BqoxV7iRgrjREl8bAOjKrsd4rAI3IuW2Xvqum4cYVe
mxBeFxTmMSuiML/6lEKaEfV/horccGh8Iw21U5mZ/caKXdmQ5IIIl6A0ZFCQWzVuRqi4KLZZdSDj
8AGCRvlNmu5fA02zW3PMov3bx/dyUpBjKB7orBEp9rpk4aZ1igKfI8jn2/w2B6v6MOpi2oibL+e0
dBkoj4NiosG2Zq40kQkwD9WVoByz8NciUw6Exs7rRy00Q3VnhJ788fa8Lu/F5XRxzOA+Uvpa1zV7
DZXwIRtloPZFMx6k2cjhpmz7wjz0WR5FPngBp7mpHIcr0hKuIXeZIsPw89s/4/K8U6ZnzqQlwKKs
tUNvq+qTGqltF/RliptorpqPoIv1HbW4V3W65Hsc2tPGybv2tReBNZ55CsfoPZyf+cjT+zCSWgd5
ZEinoElVCU7NS5XIx691iG5AkNZbxsevEcT5TbOw5RfKPJ5XIMZX5YIGGJPMINEEvKSx8uwlslW+
IEgh5UeIRH30ufLmeAKCVlKjgpGMu/2sSUXtoLeAydzlmilnqgxF/QPgs5d+S/QWwHKLu2v0cZCd
7Z5IJ80fathFCawdisJfErNXvL011Pn4qIRT0m7UZ66cDtB3yGFzzghn1jIkYaN4c49vReBaWFvY
Qz5/LKlebJzByzt6KTWBrgccxU55rZb/c0d3ULRxDJIyaEi99iURQ7MLCXx6XxVG8mIVY36MEHq6
k7GTvb+NyuAkgbi9UV1DiuF8s/T20MlRETKYAcKfSoo+vu2gIfX2ObjyIemeAokAvkLOuX6G5kSh
VRQzip0rZmCMWvGi1tLciAcvH4OllL4o26LytbCrz+fijl5UlbHFhyzT6ath9+MD2aF+Y1T4Q/wP
E7I5Xq9wGRL286Fi7opBF6YMevimyBpAOGuMXD/+D6NQglxKn/Bo16VIgaJdXBhxHxCG9vuoNgbU
a6utSsDVxQFLCY4X7Df1mvO56Gw+PY3rPkB+2zum2iROeA3M39+ey7XFWZp0Li8bAKO1cH/dam0a
d24fzEUrnrpeT3iznQr0mKVsFFAuh6LcBKONfiD4P1iZ5xMKZeWIOR24/KVW3hamm/0OhQ5lgvbd
xmt9dSjQwXhNLZ3GtfIv7NKo9wS4KNKCPw4tYD+2GmoDvbLlEHq5SnA+KaW97jggtqtVAjg1dZWZ
LIJBKHNMSpX7Hholh7dX6fLt+H/ILwDlBMQXogSRPoYpHipDIKUu531BY+UEz6JSn5KIpSVPasx0
//aYl48kETWM6qWDu0CdV+8VeHtIBzljukLYHye7n3xZNotxip4FtmEnR8Wtto7WlYmCmkIxCBVx
Irp1Hx0XD9Q8YPgHqtEBZ4wR7c1x9XiKXbu5Dyt9y9/wykYhHUaXdhHNRIp4NUnbmSB09O4QKBIG
i7TxVvLCKjqmbe+9+9Ui8yYzJuGnfM+NeL79M1RHIFoVYyBcvbqBwzDewiDdwv5c+4BQNWy67mgF
qesqpWX28B+yeAyaqrMr/EIy3HMqqSdTkOiO/FLMuf5+jMXCfaOSCd2OYHLdfS972r122iDgnIGw
DWFTIlqT5Wa28VxdWyzANxxrdJ6Y3GqxRrNK0a/vxiA0qjbIIls/lQZa9igGNRub/8pnJGqiTGIu
olU0nM4Xy55oeIS1pwai1qybeOqzfSzcepdwOR57o5Qb412ZGnUgrkbw5SC+1w08aVWq3SL0Gaj4
LPw34YKFhGBolXckANbGe3xtbkhkWebCK6I0v/yWfwIbUYmoYVdowdhUysEt8e4uzLz4UM0o6Dfh
pkjy5UVCA4AKF4gwWH36GuyTx3nXKAVtMz1zrUeVmudeI974VmZFdRsCOn3OJ/SD3r69Lu/lpRmK
uwK5rrnIs59PshrBvmEHNQQE3epBS1XFj/CwOL57FBL4BfZKHE2suAJhQn9J56zAqNZs5na6oTuE
9ASCIU3/7iwXNAgKYIwBIIRi7Pl0OhtnjaLlWLeGhAOm2eHHWVHa96rSgJLiq9H4p7Go0mw9HwVf
LjMtMEoLapeYhgze3IcINftVZb5XmJ03BQg7ZUJwxRAY1zEUNSkthmc8Bh3wdR9WZInvjJbvHDuu
/4dvB8bD5fpdlLrX3dy8ogI9duoYzLDLfRkqGVoQztZzeXmClxougxC4E1CvEYKlULVZTKjYs90V
/C0HzVeSfjzZOEgc3t5114aCrQ+dndiDAvVq1w2ulZtO3cxB7bh0fYk8YulD3hiyUw/+8c+7RzOB
aqAFvMhZQhU53xSejn0Yn0ulVuUhNTbZxV4Mg3vErvG9cupsCmBVKMRzXYAPWRPERZ01YsgGNWjb
yNvr2EbuULeq3v/5AC5zhngnyazW4JsOseixxpYHiGNZ7+izo41bhPPJyJQteceLW4heLvnBUskh
W9DXTG3dgBSCd5kTuJSpf41j0u3rIcme316hy1FggXC1girmwefZP1+haDCzuG5RyGxH0Z6o+88P
blfDPnx7mIttZ+BIx1UKnXkBf6+D6kHmbj4oGaWEBc9SJB7eoEaDSY41bW2EiyeKo+SQedMI5/9A
SZ3PSBrF2PaW1wcyFeFnu8/kvstn7TSpeXcUotoC019OjaOLvCjNd3BPaMacjwe3H/mJXBsCGszK
jTHpqT/IOj6Omtg4TddmRj5CWrLoanOuzkeaGmiAmaUOQYoZ9YGWFm3CZKyOtVbVL2ZcbWXEr5WC
swLQcisRLC3S87Tj11NzpDpHDsXeIOziaBfDBr9zCoTqZBVW9y5Yr++ZnKw7NO08WNW6d6ITOpxm
IHNBquMhOBmleW+o09YpvIgK+Mo4ZaBoqbHWlrMqTMWJIytpKGOQO9Xkz6Yx78eqqx7juhh2LYpr
n5ys22LnXlKnqITxghrgh3AFoTdz/vnH2moayGB6IKnNe89hKqfic25Azf1UVVCgvkfubOZHkNWm
/kDdYkLhpWtccTfE6D8fRNhZIRY8LUG115raBw8xOnMH3sqc6WYXeMoOeh2FvzvKra5PlTNX/tpK
ZOUZlqKjCpW+SIt2Fw8i8W66JHObg8QjuLyXGLN4L1NY1emeGLgSPulervyqka6O/aThtO1R+Ikj
H8eJyej3DdWpcFdRJG3fWxLg64DXAJ+3nIQLChU19qInnDECFwlQFfCATj6UYB08GmUqNi6Vy23A
YCDBIWyRrZO2nC9ImDvCyGZn0br27J9G5zbRc9MOZrnXI8soT61phXlA13LaIupc1PeYJnkSSA4i
EMpfqxC/sUovSifsNNLWNX3Dy8QNTrlA2aRsH4REA3NnNbU4VJkdPr99k15e2EwUnC2pNZwupn4+
aYSAi9E1ayOokAzZwZrtbwu7+j/OzmRJbltZw0/ECM7DljV1s9SS2pJsyRuGJdmcZxIcnv5+0OKG
isUoRh/7hL3wCaEAAolE5j/MO8TH+1DDKKhF4YYCzp7RbkfR62XK9TAxgzjS59T3KjtrP1PxrD1G
g6eOdE0xTjsp5Mb3xAMJ0C/mHhQr1iVFS0GPdB4ZlKfgPBwWG80vmo1KaR5qfVL6Q46YTQRqj/jz
/HhV7+dL9MbsnNLSLy+P1QetAbMs1miaAXgt2zi2VVrNdDjxFTjFZVyEvtlGTXt8POj9zQEkSDIO
KRJL95/Vp/TcAWAGNHBwTZ773EUmw8Dpf04Ld0+Z8n7Dyq467xle2iYo/dUlZVhT0jZ0M1DYxPXY
0MMPTV5/GRc0/E0Rf+kUnJwrYe7sovu9Spldqj+QAPKMW7upSwmPMTXAvcw2UI8Uj6OjGJLurQBD
CiLgBaQmphQJWvP58TRTYa0hMTE6bneYaiO69GZk+TVSpTtf7J6/zyuKNAZbqF9J7Rrm3pk66Le6
dYNCjYrmv37mfXDIgFwBWaHX7VwAP4fhuYiKxDmGbWRoaJzTjkCTxSqsy5RGQ/1iG6GOF/lAleWp
NEIyVaJ4V+VIq9RYgPVWW2Z71AO5l26vclnZIV5SQQLGvO6eTakX50VTegE4r24KMnW04FbADs2O
+WhrybV0a6094JiLl42rYDx16oYy+vJ4x99vCCImwqgoEEm+5vpTjQgcOVC6wiBVq+HPKKvR8IOR
8vnxKPcQeYlMBARJD5ktz2V9G700dwwlRDsMkJXlUAEdw3LbsnKciQpBOfQJ/wgEcTNLwj/GEt/K
j+5goN4zg/ASz8rQime9zZS9ytDG9F3KvdgxWYDz4Erc/q6qwPdjQd4hKOYIRAJvZq/2x6YY3wzW
kRwMKW0AElmWy1fHvZ+rJKqx1b0iCZsdtKkbLkqD0Mvjdb4LmpwBeEsSaUFphgrD7XSiMa+wKqkp
LNAK/uA1cfdUQ2B+rzlFf8Xtvt8zZbiLYgyINgnIKjpBvCdW0yLPVZZSoRxpjoP3Evd4+lxQraor
f0561K4rp8z+M9tlRgeIzbUTZ+6+Hi11IOvc+Hw/yei7nS6KwlmoVOArMHsn/S7pyqLR4mXlTlqz
sazcROS1UgoGodrV3VuVRUZ3Naee18eLcs51M+x8PRXVC3pzsXG2jHjaux/u4cxIlCLURYv9Vzdv
XYdFLxTL7hld/2lMJ3Foy7TJTqWIvVdXmxzNd90h+i/Hcw+YHpi7I7DI2vWxoE7/iunHh8fHW2tj
rSXzC8dfl/4VNnO3a511dewUZJqBYXdwECwRP4exVT89HkXul5ugyKTRZJVIY2Iw9nK3o0yKgIfZ
lVrQhV321NeIf7RJ6AUa229n82xsXYrqkrUCKpc7ZHX0w3LpCjr1WjBOqjgmduogpmIhSa1MxcEs
HeMYaur8obWjPYL81iRBCcIGhd3B0KssI7VHI/LaFok5ZJVegP3OHyQL7Udpj+Kt9z2EKB6LpDOA
XaRizO16Fv3cgfDVtKAFw/oEfsB50vMy3yGAbuwNOut0iSg/SyL7qqikIJnS8IzhfKR1fUla/bvV
hcbOBtz4Xuw64oysv9CgW32vpIucKlF47EW20E9Rp9dXkK1g34ze7vw5051POY5BpzLqpp2wujk0
KbDUAJBGBau9j+1MoYRGpEuAV/6xLpB0t7NC+7IMtvhLxR0JcyMvBDls7ykfbkQe/J+kZgzIKyrg
q/MQtlafjOGiBWVoipco6eKz6PvkGwLUeLsuzVtdA7mdecaDtKAKDlVx7ScECEzTpG49yvyO9loo
zXBUlybFeVGAFXx81rd2jayCs2PoSCIXcbs3mz5SKb3iJhJhWnJMiyw+VzHZz+NRfinCrEIK9TqD
+ir8QG751RXVzaENlNnUAzusrhMiKnmtPBux8k5Voy+FYp1U4fzbGObHIfb+0VrXxyDjNFgG9NZS
dw6xvYdP3Jo3ODDqiHQqeVWtf5A24Y5Wpjodm7482H2YXQuovE+P570RZLgWZWGElzhlvlUqoNRp
PCx1g6xkWhSfhizKgihNrNPSLnvwlq1NKql4oOZZ6DsXNlVthiZ1GEqFxf+dCpUIjHixv4RxmD5n
ode/9WlIJw8YD8kk8ZOQszqOeaio5uJmZtAVQ/GBAn129FAgPFSKGp5Vu3HeHkRlcYuyFjqj0M9X
8VpLWy3C2k4PcG5ecH819GOimm8WoGFWAERAKdEw5O27+mCtPSwJnAcKNY7SoWyqpcdFRxcZTac9
keuNHYg4PTh1lf/J83578mrdCKGZ4a0Td2Xzx+hE0VPtjtVO1NTk5bI6eTQ1QHQRM3mf3XU2RDOa
eaQaQbT03oV+RAh5sgw/zMUsSh+4YN8if2PEvlLB38jEEJ5GHR+OxwdhY3dyAMgnuHGJXmtVu6Wl
ZlpVaGvmE08hKqVdGCiwOID5jB7OpGa6J8e+tbwo4prEHDTL77ph02y0WoXEKKjAcD5aqasfyrpf
zo/nJZPb9eqCVZFFbt5ud+rrwmnr1NAjM7Cs8addK5+b2XqhJ/HKdf/JTebXx8P9eo+uxvuF4uAh
A9iZx9ztpnGKQjfmqLbAIiBXeUFwSiTPvJ+W8dhTzIiP+ZKiNe9MWf3Myy1SL2OEb98hW9q6/GHF
aWE/K+7QvtaRsMxPAO4S9xhOIlEOWq0Y7sVRRudDD+dJZrHJhNtEaed60Ctqrv8t8hShIpLlIXnp
5iTz8Fw0vM+Wvcz1oY5zMqcO59f+OVx0NbvMcWdBD1CEWzzB+xe9D3U9EV+NZjbxv+mEohDnw6U6
xlNnfq3HPHdPk6727tFoFRPYJIwm2LCIj7tHveVp4KcKKrG+6cQ6GluTE/7Jl+9/aEU+RcesKdL4
ZIQp6owktqhpjTV1q3MO4ib35zArPrlOqP+cqUGPB6Gbc3GcMKjh6aCGyle7hp76wVLrSH+p4qIL
9Mipy8PQmO2f8RyG9cGI1cH10ew18qeGd8q3WlGpSNh9Ycb+TJyE/6Qp2c9cFSK7jMmk/xAhnLED
jKHWI3CNqK8WhZf9HeUeLM9GLwr1iAXb4Owct43Nb4PxJ1kBHAtia3W70bPF2qZAzrgXIEvL2gH4
M9rL8fFu3BpFclJYY2qid8lgVVLd90Y2f6Tolq/O0KIVc97TidkahZuazIs3Ow+TVUgWwCecBShR
0HZDfDTE5JymUOx5G2yNAu6QRxXZpRRRuT1YIzeL5yohc7FU8XlRs/FrIbLo9HjFfmmVrs+vZI/g
aMhnuYsXE+XFFo8hapulibzyLJtjLxWvFArXCJnoRzzPAMZ0dkwquwyoWB5TvA5/YqDZGUctdfLu
i1Prw0+VGk269+s27gr4kURN2cdVAencLkI8V0CqQnCrNtq0f5VWq/0xp4rjoDZiGfiZpp3qS6Gi
73M7Zmd6cnNAq2Hvob/1KZCAA0cvdcXuKMS9XZDLIHYb6G2hvYd8H/+N1oC1U06QH3T1JehNomiH
VgSFizWKe3FNhZIJCSBh58echtFFcPYP+SCGnWXdmA8CKlSc4IZIVNwqc4F0AMCkCfUgnkYIaVbp
HgrF6XZuoq1RXE4i5wRyD4fl9tsJy8pKAq4eJIMGjrCA+zZWhKvHG3jjvgPW+v+j3IP7RpR/21EP
imoUL3VW2J9gmOl+MSbLVWu6+nMuqr1H5+bUTKhX5EseGcTqjTJE2VLEXcHUKnfwlc6bnprSsXYW
cGNDAAQFKiYzBooeqzgTKXFv6tVkBGlo6ccx8r6q6mwckyqLdxZRHqPV1kNtkoKAY/NSZ/fdfipc
2lK7BbgGWxwwptLk9nzqZzfrzqIrsw92o3wq46W9pm1o/vX4+20sJUMzO3Y8e2S9SwyXx2xOFzBo
eUCfckL4CbuEvYLkPVVOFgeYHEIdZGDUJG9n2ChzOlVebgZ51H4MLe0/UbgKNLnh7CrWdy9Jjqny
l9Mo7wmGnxbaoSjZ6K8uaBGfJOtIA7byo2H8I+nm1761l4O27J3/rZXgggQNgVKBZPXd/kSDVoij
z6wE7Sy8iefFPUcpfmqP13urgEg9nz/KkoJZzOJ2GHJG2k/eYAYhdHrAAmbVoF8sFvNDMmIMfUbW
MxreFfZY5i/6klE71XSEbM4mvUaNZChz9h5uWxPn+QQRgkgPRF2m6r9hFcHWI5MMizMoBoyfcfEo
Tmrq7okBbY4i5SepIuIPuIabTFSieuZnBo019edKF+Y5EU37P2xnCvmAIRG55N0rw9Vvc0mWcY5R
jTApz+bi1Kh2ebExd985r/eRATKHRNgD1WE+66fuKBp6SFVtBuagRmfhwqv1Eq0/11X/9mWTQwEt
oRRKq2LNaJqRyc+NruIGViMLUn2bjF+deJcLszUj0DlgtahuS5Lm7boJkQ+JYhDrDMtMUelIqchE
meWRv4bVzptlayyIhLQIwMxo1H5ux4JkCv7cZr+h5B29mxqjO5ijqwRzW3k7p+3+diJPJH9z6USa
lMlXh20YUO2fFMsKqhH/dSsyqw+l2ZcXAEru9wQUtd+IXt3Zg78qD7fhnFGhYaCGRM2ATvLtBJOi
LzWnUy1SR15mHxZK9P+miVfW9rGKa1zIGx4OMe8zvX7VEWlYTmHedl9HYMLiMHe6aH0V55zXEHWI
FJT3OKIIgLkDLEUhGc08oob6bNXV8DH04uqftEU64jCYZr4cMlhCi28UXvTaVlXyasWW9oUiatv6
epeGn+sBb09fV0SqXHYim1zM9bTxUeC7wgeRrezVtJGmSKzOswN436FPH9d4aon7hywkopi9xoMs
tf/oRGo85SF2PnhWYI0xJUnxDuO86vj459zHG34FGYK83IANr9M5Be9LeygnG3eaNjriT+rALJvd
nXfV1gYjZ4RyQONc89ZlTH3AMSRrdTswE2X6No16d8AZo3gKuyQJFqjFvhC1t8Pw3Jga3TUaw1AC
gH+sOxVC0wfDGhLkkrrom4YNyGsrSvvr4/XbuLIJ1hCLwTvKJHUNRbQ6YbpLJ8KgjCKr/aY6ig7N
3kN+PvVzB1uAZRII2EVR4uoXrmwzCtocw1sfUdy86w5NoWeJ70X0mD9jo159dKtGz56dNMxHSPm2
lQZJspRRkA5l7vjILxbGzpbciDRcAVRF4KFy5axRCNM0lvwVOUgWjtUR6Tk8SXo4ShU6Gm+/Elgu
abUl23F3LYFlKZeMU+iQbef2uQm97qgUlXLJ6qHfGWrj84NTZ1IA74lTa/uLRuQCK4SZWYH6Qn2m
pblbOXsp29YoVJRkfY75kBbcnuZeFZ4eTaUbKIsFEsbA80XoS7gToDdGoXLFbcmDiF7Vr2Llb/e1
XnR53ccSP0Wj6tzbyXQBt7XHitsaha6JDoGdThGNzNu5zLVnJmkCaql0B3xtkSl9qqtpzwLiPouX
cEtuaj4L1+ja73E2M4q7HFzK7AWFVDX7Ysbzk2MskMni5JiE9ok+9X+Pj6kMqqugCzKKPg04QoQO
1pD42rGRk/cyK3CI7BxPJX7NOMtf3bbU0JWI+WyPB9xYS/IDsD3wdqBJrCmTQhTgk1KhBKilJ4fa
NNJj0tnFzsm9HwXJWokegDoPZmKtbAWhBET3sDiBgUTJ2YuGAuoshbO3zgV6hEV1gyyE5sX6i7VW
5/Qk114QUTx9DatJPyeQJt4+CnRMEifJuIOetroXRSsmfQ6p9zmyPjmAf/zHzmiOvnku8GT5MgAu
APuuQYFJiqZZBwIlAA4QvU6DM53zJcu+/A+jYAsvQZVyRquoMLbWjN5TGgZ9N9RPi4utUMxD9c2t
HbouRDYKxzzISOVvzysZQVQjox0GC9Rqf1rALY9RuWczcn90wBhAmwZEAgsN3srtKPbc914zOB5E
y8RMAnVsjY91FBkvM+ga7WzOnvfpzasHqkE+8Kky8Q5evYKRzMBKjUpsAG7NfQ7VTBztxtjb1fe3
HgAVWmMwCUCJqmv0FBZRg0jyIgzipVJIGef0LOY6C0Y93XOZ3DimZFk8gWBQS9bguvvgGU3lmlkY
hNi7/aTdmLyvq8bdwbtujkKTGJoaO5vH3e2H8kKvWkanCREpbHqcL+LmSUWu6PPjj7O5bNTKZN2a
Fve605e6Ma6gNaPgZBeeVD2Kz1ay5C+jrL++fSgABKDv5FEiLNxOKNa9ojL6PuSTNN1B04V7KEMH
a+U+34MqbK0dYYGH468i4Lq0ZPXd2NcqzbUSz/r37jIm50VP9rRUttaOnhelck4S/1ztg6zR+nhU
yBXj0Kmfosrj7oltjMrGcnh+vHZbEyI2AFAg1ULXdrUZhKUrkGTnMMgQ5wPAnlhnJxfD22M2Zj1c
15JujgPDKgKpEZaMbmLQk4yX7M+snL6AbtZ3UuytAIR8lbx9WDZeK7fbQChmkeRNEgZNbSgX+nTZ
e62KEz8RavHJUZfy6e1LR+GFG4z9Tb9QLu1vyVaM6GDdAc4LejutPgknNl4IE3suPVsfCH4PyFI4
5hJYejuKDZZXpLigBpQzptOCY09gmov3x+O5bO04h94MzXLUIgFs3Y6Chzd9yW4MA0NoyTHC4fol
MhHBbDCePT8eanNCyKDIpvGvhvXtUGZboYTrMRTAcP2fqmrnawKuaW/dNmf02zCroNBiU5UW/UJQ
qHr9RU2sD0rlxZdawUr68YS29h0HSDYCyUvY47cTirQQ2aNOD4Oh678Iw0kvkTKNfluJ/oQYa+4/
Hm5rYkiGcohoCqKCsdoQ84yHilWY3OaZ6Xzuhqz5q4Ljkx9DHLF2piYX6TYdljaqKLzymkBVcM3E
6hFcg2YmouviWO1ppqL5o7OG8HuRTqUpZ8jDdBIOMpyP57ixRxDGglBJSAeOskb0iXGBfiQEypWo
DZ5KgtfHfnKMH28ehSo6dwbIWijXa8SrpfRFroGIDuJ4wReNgsQp6Sv97XORxTKotlIfmNrj7fYY
mzakMsNcNHSqZDAaX6JGTXaAnhsrBvjEATWIlQ+lTeN2FGeKarfDsicIl1RgezqpJ7t1+refXexz
QCgSI9BPWIs/WnPdZBW1gQAlxOnqxthhhCib7qiubM2FLhEwS6gV/L1asWRJo6TXGicoFlP41eiG
p97aRXXfnyPE3nhHcGBZMHX9JvKQe7Q1rLFB6y/4MZaV90J/1j3lca+++ZLlz4djDTqITJXvdPtx
cHjJc0WtsUV1JuOodkh2cPtXO8u2NSGYskRWFC24BVfpcFfrVu4ZjILLruvHqKEcPIFzaIVZ9c6e
vo8LTEUmdRycX4KHtxNSJmXU9Zg9PQ/uX0OmBCJufkbO8FLMnKRi7nZKdJtTk+JndCip06x3t9Jj
RLJMTC0uVf0wuaP45Da69S43euf4OCjsDSU352+3eq2hK5Zl8iAp6vx50keM1wu3vHR5nOzM6v7i
YHNjvwJlAsDdHbJfa5qlKDLHRuXferWc9ie601+jzu18wEQ/H0/r/kzJsUB4SBY0l/wqPhR27nit
rN0litf4IIra09Ate3F7Y/HoE8ksAjQOyetqCw7D5CmeOTlBBQl+OaAXbB3EOFX6kSqmu3OqtgYj
JpMlkFHit7XKWRAUdtMusp0giqbcVwA3+Xm+/MCp2nhz2KOPzIbnO7HfqW3c7gn0lL12jHU3mClJ
H9TcEeeW3vXOodr4RKCE5cpRgOKVvooSbYN1URMvbgBq3zvMaLkdlbb69837gIYUl5EUfOBRu9oH
XPZjkuvUArS2V/y+6ounvNL3nA9+ccJvEwdefVIRnK4NVdx1wj/iXK6MmJMFuEQvbVCOIv2jBcL+
ecQkz/YbfUYJx3OG9L2ScbKO2ZJP8aFGQB+asNHYOoeu4P+i5Rh7fzXHpdYPrRMunW+Pve4E7MD6
VfOGZfknIu6GP3LE7pTeVxNDqUIf78Y4+RpXrdYdQJYjN/V4FeXWejS9VQ6GJJIU8nJ5QpOLF8Ek
uuqUGJN4Hmd7ec2K8AsEu4myfJJ96Lok//54+I2dDyWJQrKsjIJJXsUos3TDwbQ6HJs96HttU6fn
GEHua5TbP94+kmy8gXODvMeb93bnCzc05lg+3FQTl0xXqMqJqrVDZRRa9+OhNrY/iRiNRaQGgKGs
86TQTXtTTUolUKIiOoWYh11YgzfLvFKOACGPjoFcP7B1txMKW31R6jJRAqNu57M71PDUmuib2at7
Yoxb8+Guotpq09kmk70dSRhFkRezrQRUW92jQEPDAjEE+X5n3bY2Ax9GqqFCPKTAezsOHZm47qs4
ujpOVR2Xoiv/dNyoeloWZ7w8/kQbaAu2HD1JHrskzJT+b8cyGmWhJtsiFoMiIrH3j9aovsy1jplq
Dl/bdmLVt8vyD6XsLyhqfomnea82sv0bmCeNKA4Az8jb30DG0bQa2JbAyO3uPyvsm2/DrC5HF2XY
cx7anq+FXXjJitY5jq7evrpDrx1SIvjO+/9Xz3MVBWhWSs4KxQZ5rd7+Eqe3UhUp++a6IPyRH0w0
Abwv0DfT+DxPamr+o+ZT+L02Z2V57rsIbZCaDAfrSS0tlfBIUohwFZbCOiqds8iVz10yK8jKxjBw
jgvUES0AnKl8gRbj9R9wrm2ST6M9KMPR7k0o4lmjVs0h7wuns3xndpoBAHCrBjVwA/09FHtiqRom
7cnyEi//Opr19CVtjTY99C5GCr7WT2FzNMIEb2ibZ6xxVib1V2PKdpZndWgn5TNsV+oAfqM07fIO
Q9W4+JwUdSk+1uMSvZaij6xAK0I7PsxF6X2O03zSDqEeZd7VwHer/jOfZ7U8AGVSRj83Yq8u/I5H
Z/bFgs1UXgQ5Q3Xk4RLjlxJmdX8Iq9gDh6pN43Cu3L5UXozRyfOLW3d2FsyO1U/+ZBWa5luKzqvA
dAcccxFbMGZ/pHfiPEGm6CPXpwbY/kxVrfDOtA57j7RKm0J+3aRNaXmo3IJuaa6W3fzRmfOsedXb
qiz/VKZ2MhB06J35R2amUX7KNb3VPkwQnxw/BUlfa8c5dcLyBMQjrnw3Spzp0lkF3pRHu44s84r+
VpG/uImX1MdIXywesouda3ta/BshBpt0CvskJhT31xlQVBaYToRaGEhb4yvGMxFQhWjYyX5+7ePV
PgdrCj2LCh6Cm2vBAIitSh53tQI+UNeuem72X9JYGw9JKCHeoCXEMzKV2msyL96HpVaHz5hBZh8f
x56tueL4DYRQXnpos94etnoyGkwDvTBwkGQ7aJTFT6nejDvBdGsUXutgkRHDlyrTt6OYWmNri8fN
aqex+ykqwpg2bVPtNGQ2QraEIFEPAN5BiVy/HcXQS0SU9Sy6FmEIscCr9E+yu/0Sa5G6x1vamBGo
DXok9Jwd4GKrcFn2bbEsoaIEoUqIPuih+IxPQ7tnZ/grB15tEgDXyHbwngYispaoSp0+m12DcRKx
vKBLc1DsKPXTMn5HdHzuJu8pVd0jL55305i8n43ouXMxlOyG6ENu58cWGEuvzRcEfc9lUfzd580Z
07FTVkCCiJTqMKvT0ermyk8Mc+da23jNAteUrCdADazQ6qZGpjabENSOrsA1vw6EfJ8qsnI0uval
MPh3Zb+dFciBlY16qnjUjtf4zQJmF37ibXQ1rLj3zUKbn8m0xE5BYOuqZAB5UVvy4bxu/HlNYk/h
VEZX1cWtJizSS5znkMfAClr2ezsUI7Yy7ve2K3E2tD+Og7NzRW5tPtaUC5KyBOjs1crmdWQUSTxH
Vzgm2s9EywbNb1qgXG+ODWBgZRODciiYu9WppT6O1drCB4zRqDmmWavhBxHtaXluToZjxMMGXaq7
VskslFFbqjC65qMZUZeqoJ34On63x8ezud+OVHD4C1FZSf1bQ60qBOVtoZrJVW2EnZ+ov5QYoS4Z
SoCRPjjpx3z04j+MEnGTnXW8j0uomUD+R2Ofyhj1ndu4BKA0hxhfZVfdMp5JEbILEp8Oueue/Nt9
5UOyqCWECHjufT0Hp4BedQF2XRNuf3GoVa0tfLNxko+ONs1YcwpoRjunfGtMdgkHHUwu6fJqkyyh
2llLE5XXms/4OudamxwGs0e2qskH64N8ab4+/pD3G4Yv+Eu8CyFCin+r0OukrgG8uEQOw9SGb6Hd
qM+ZVuZ7es73X41yAe95WuGcMvShbr8auZ3Wi8QuEUQbPayXhc2z2ZsulVq/vRAC0xGOsbTI4ait
c+8yzQxtrhkKk5ywep61JJwuY58VO0dgY0pALlDmpZCpys7X7ZTSss0ALehcWtGs+IZVJ6dKywcw
Z/oebOH+I9GGAsMEZp/SIjq2t0PBrlC0BUnxq4Aj952qi3dxQWTsySHcVQwoG4HqInIAYaVJvTpa
Nfq4YFXn8aopC9aADrJhxksT62Pml1ZUfYO4F6cvS1MU4jKMbYgRUF22e94Kd5OV+E1yJ0o/0jdm
bTuXWti/LTATrjlW1hpcuV5D8g1m/pvxexJczRCccFu2y1cNXwc3hTriYr2qWT0ehymdP3XD0lzj
RVf+enzK7s41iGRppUebCHFCUBq3H9D0lkYfckNczcKO/mpzT0Q+OCQsqAdroHaEIv6bDVwkCBpU
Azwu1G7uciosFaq+bHRxbfW0fo+pbelnaj29VXACoxObYIw6Jn1zPsLtxEIXMzO7NcVV0EWsn9R8
Kf5IUAvb0x3eWEAHTC/xib65pBvejtNgCKOpizFeTaOjB6KI3rzEbT5Eftq7/Yz82R7lUH6Sm1yR
mfGxqPFgRoDgwyoUj3VRK+0gR2y84d9c68onIbTpklsRUl2GFn8reccdEn0WyenxbrmLLHJonr4O
HVTu8DXernEq3IG5s68WnhxPpt4mf7YYJ12sttkjI24PReQnJhPH1s8mdXF6e47FeB1CG0/6Wq2M
4rTkufpOS5a9Qt3GyUbvHugVqQnwuDUGJkoijnbTjdesso1/9LI3rwMJ//HtqwcZBN9RifIC9HC7
VSix2JQxFCymCz3Fhy/WS97T5ujU7yoF8aCvbx8O1UGKPTDGPBQDbofL9amOJzOksBlJLrHTN+c6
HL+OS7+nrLh1BpD7pmQtSarWWqcMxjHSaWk2XdVlWr6DBqv/EdGsjU9o+ebJWa/TUtvZiZtDAmKU
MuNgY9Z67bTWxVha+XSNKNM/5Yba2n7ppdbffT0XOQZiEen5/7Cev5zSpcqRs2555lqipraTTle7
FMV3W5vnM7UYtMDGqNu7Ae4vPEqRAE55TFNrpaVx++0YxWlIqaZrrw/pIVWI0b7SlvHTwHv3dSod
8T7vy/bgpkZ1qep6r1W9FWNod5E+SzzQXb1As5ZC9JRbr9HYCKy8wuLSF1X23M7fzYHmpd+5NHsB
F+rLzirf10sks5ZPijCCrJKup16PBYpgM9t2apqpDzCOj5tDZaBAcShFFP4XqZFIfDNqy49R14lX
TTH9moJDeXjz5+ZtyW8gswFi6a1uxrmRvp348nAJp/W5EQt2m0ryQ1jh8PR4pI3FluknTnQ6qTVQ
zNuPncQ6NBgnma64zMzPSmIa3+Kmq85FO2nvy1AMcHcU/USut4cS34h7CLJL43eyAF7xq21Wealq
UIWdeEnU4jQZfXoesrDd8R/YCOVkoaijEIVkH2Q1P/zYi5pLf7o2dV+fSq0qP/TOMJ7I6ZKdW39j
90idVRcUhywQmetOrZJicqaUEfCK1p6mP/S8qxwfvFv6MhWZMh66MG5L34hn+IvGhA/aQTGgSJ3z
iM7uzg66/65EX0mmp6gDEH/9W2qsAjQ3jtjJavu99IY/B9d+7sbprxYGgE9x2Q/N4cvjvXT/RW/H
lP/9twY8vryFRwVOXBXBAa3BJSIG0SQ7O/b+i/K2ptJBXxd89x27yu2iBEdheTk7hfNn3XTG32aW
NokfuuH07+MZbY4FYlTawOvsn9Ue1aKWvAadmCu2ZuNBNcfpROVaOYyx9/YIL1kzdLYMWkLc0quc
0UicvIx0ppWHvfI0J2n+ZKtFeZ5cd29vbHwnOquyQIEwKYWX1Zkgr5+nIh550SRxdu6oMwZ5XkU7
uCa5NrepIhNCi4X+CoHljpvuznNn5Oo0XnsH5kJeQg2NP9SqmvlTFVdI2O1qaW3Pi7uLQ4if2dr7
w1aaXld7lrAfuZkSBCTeVaJJd0DYm3sCGAY1R2pzHLLbXc5GwCsAWZlrO6BXJZRoguNfA1w2yjdT
TFDgkxK89FYpNlOPuB0qClU3NqkNXPuhHZCOBBrW0Ck+Pd7k9+kM1Qdk2+HQsWy8JG5HKXie1WWl
jdfGFGBnrN7HdDw7dHhe+8XAC+l/GI56swusRcIl5M/5LUpo5WgMNrTuazKm7gsdvvFjN+nOf0LV
lCfKS/POeFu7An017jjSUP6p347nVDYSY5mYrmFDe9+vEX/J/MQdurcvI38+FBraxgT/de5gzC0Q
rlqZrwZCqs47t4OweMzdZuwYbVwS1Ky0rHp+vJgbk5PPIqCQaPxDXZeb9bfFpEFNcSUT6pVCOBjj
sPmaIOJwfjzIxo4nL3LRM6MQwo2yKgk0YTdTvWzVq1lreAvbsf2q8/x6Nhu33vN9uE8+oVNJlrKs
9vHcW8WmJVnoQEatAFls5+fJThkhc5PlhCuMLS1kkxG943E4pImSfJtba8/8Zmuyv/+A1WnIy0EL
y3gQ166Bme+kSuobQpk+Klo1/Q8f7/ehVh+vEgUYqKwXV7JOOt5ebPhGhhfp46+3kQlIGDDZNDrp
dAHXKzq7zqi1s7hmrjsdanaMP0a4nxbdnB/KWPsnHVLP73p7Z9dsbc3fx10tJO39JWzHUVw1K6XN
aDTZC9bPe1D+jVtGAkIAN7A/0QxfraGhcOubMQUdEyPuI0lufAxtLYS/VEX/KqoI/aFt3OPbl5T7
89cOpVi2LqbGSHvNwqVw5RV9/nXOh/JqpqL/mNJNP3PJd4fE7qKPNO/ejBSV+BdIyFgPI9FBTnJ7
3lUX9+E2Z7oK1eLnKBJfXVG3Twn90J0E8pfaxer+Rt1eQg8RzOJDrvbNaBdpaSbUW1KzmC560k/A
H9ochd3Cc49FtGgHURqYVeRmd0mq0jubbuxd0ojygjF1/UmLPPcEuEsl7e6dc7i0e9TcX1ns3W+E
mg3mlhyDXtXtctRzCrnGjEfEo/vad7WieKlNSg1u1hy93oiwmk2sI/pR9TmveLBjFqcHmG7oaK/1
ymmxs/rz462xFT6gHlIVoCYHDHqVHWhdYWntoIprWlvRRXHT+Iu+oAa1tN4eT2Jz68vuGaGfKvha
ymwuVLdA33m8OgslzHMyFUUFyiHKW9+1euNFtZVwPKRTvKfCunWyueJ4u9HTlwyk21WHM56azpzx
Oh3trjlZLbZDvjVZi7nT1dociEKLLBADWVoXrWylUxfdLcar6yIIkeLU57dUynbC8Eb+w3tfKo/x
1iZJWG2iHo5tMnvmeK0SG8muyVzI6Lq+SnziJrZTdqt2e7SqrW0i/UD4bKzincaW1QKxcWXRbx41
74tQxcwxS+Z3GonRThzenJ7LTpQ8CTBPqwiZloVWDnkorqVXqu+NdESkpdDtwldFjB38FO+1gDa/
GsBeyYqVFo3yiv8tJ6mFrWh5lcrixZKEFzEveeaLIav2NGS3ZgZOlSY1ZFL8olYfDs4YEthjzxsX
5IruW5lGLj4Y8/QV6UmzPldKV++UEzaHJC8h8eetdsfpyhfcvJSEp5MXa/GlHYfyc9Ko7vX/SDuP
JreNMA3/IlQhhytAcgI4M5IsK/iCkmUboZEz8Ov3ae1hTZBF1HhdPrhKtpvd6PCFN6B7bnzq6Aft
nICb40kiBVhRCsS/1IP/tZbt2IoqmckAitY8qE22nGqMJJ4Uu7QD051+u3953R4NAiuAA4lO2rwu
em15sZ0ARzUKdNzxMl5/bzqlg8Zj4zfYrerOeLd2Co0SmUQBhKLcdblT4rXU7NT1+IBI/2t+PZXU
KJbM/E/D8GxS2YOnv7XyLIcyW72UDl7b9eKT0Lr5DYXN+b98KnA6XCFAkIDQX05mSexxrSdaI5rS
x38oiZ0dbddJv+fTVH2bhNhrHt9cPAlPJdMFi70F+GpRa04j90jYTYvITkrU41bRTWr35f6muHVV
yctD5vFoDG/7LkKvvCnJkznk7XSPdinqE8K0/TPGVlZwf6ib++//htrmu0muW6tVUn5FFzAN6PbU
fqwNZzUyn5p+V9H41vvJ+pE1kcizOTbXx+phqlI37D6k5ezHqayHo9fhSjqiknFcYDnFfkeJ/Pj+
OZJD0a9mTM60cblN9HKAOZJxxlyMuo5T18eHbmr185qAq/ARktyzDb2VUXHCpKAVjX9ETC4HrK0q
UsaV7weER8fCpeTw+9Wo5V/7qMl/m+D9HHOxKB8lN7H1a6V0//4PU5YKUPS3eIK2JKrEtZS5zmle
uGqC6cZYeKoSOBMlgAlcquNXrbRNvT/mrV0LOoDbRRqMIn90OWultJQBkskcDlOsL0EkhP2RACl7
rXKeyZ19e+soQvMFDebhlMN7dDmYiApvjlQ6FiouHJ9bzogSqIoz7UV8N8eRZstcHESX29eAtiQF
ebulmJ1rAFpL3CqHZGx3LrJbCSPkTfq7hNRgHzavQNYmRlOPjOLEy/jBXZfqNDQY3WA8k60HrTeq
p2ktiS8LO9opod/4atAT0XDBm5N26FbfvxaqsxLE040ACMHh8KwAy53YX5WueP8GgTDNIgKO5XHd
AlWUNs4Nhy5PyDLEXx2jWAo/VwrnmJV6//DuzUg/TSoqAPcB7r+5aaylx3dHS4nxojVGVC6eRHVS
cnVNnnVtbPeKQjcuNtCQsMHxmZP2QZsALJ7cBWAU7OzIbDU3iIig/iRY0HR/UM3hL+kvtT7Ybu6Y
O6XRG/uT4w1ilecII8ht00FVx9rVYg46msHisUFn7yUuq3wnXr85CsUhnloc51D3uDxtNJVaZe3Z
JGAriifR63GwlOmefvmNrSg5uUB+4M/oGGhejlI6xVqW7TCHVWvZXxe97F46MAhfla5kwPv748a7
R8pILZSmI1f1lo4gzC5uFdtj2w8OiuRpb1qBF1nofE9p1uoHt7G09x9yxpOSYFR+6Xdu9ojrzSk2
mKQd9Om7CM/H3F7PupE3RTAAG/k+kvukflnUSRFQD+v3tLtuLa9kcKNqIwX4fzmJ/iuw1aDXNEq7
oCCQ18WnqUIf9JA02KAGdtfPzc69cuNEUEP/BROmpI6gxeXHpPyQuQuY/1C03oigY9IpQ4AV6Fod
NaEvzVNdZfWbk9ZafLr/aW9sVpkJcWNTx0eyeXP0C+ldaLuLCsfHKA696mRvTmdb74Wlo9PKWecJ
+lUI2L6wGZ6gNOctFbxiW4eFavYnK5GKg+ro7gx1DU1mLNzVucr4cpSHNms5ml2LiWavhalFgc9f
Eyqk4EhifFTBIp1RaVjmYzFlhRlQAEIKvoxKRdIE+8TPRq3bU1W4tcJcrDKuxxYG+uXlt82WxU6o
SKlhixSgP2TqeNSVfs/v6noUtLckgxk0F7aVW6R521pzkWeDGk5o6b0OSu8+ag4q/fd3y/VFAHaX
EE0W98ghtt/RSxpw51Row8UDWTB7WvGzqZb5j9pWeszszfSv++PdmBWcVVl/QNIcU2f55/86hVWD
Wyc9aDNclmr5B+3dZTksnpHsBfbXIQXPHtUVys+w6K8gHWmnY6qhl2WYVqnxMtpDfLZLJXnKs7j5
mOWRdcwSS38wWqt+9/kDOKlL6Sy+mgR3XM5wHBytKc2yDYssyo6OtdKBR4TF+/zehZT4THTMCTZx
mtnic4RhLTBgcaoc7CY7ARmdXlbD2UvF5Fa+LHdC6MSTSBJcgB1t2Sea3baeOg1NaCl2fyhyJ/fb
xfoNIJZJ9aM8Oiis+V1TfuQz/Lw/wRvgBsaWAv2EFDTE1U2ubrWZOdSL2oSuMoHzTiRRpHCd9gDL
dPDLqh9ORl45B+rw3sHKteqzgfbW+78muFTiQ/oZPMpbxKgxUQhaa6XjUV7T2W9TdRCBvXbZntHb
9UGU0ZMM2citqX5vDkbqgB7rCqWnr6Y7X6GY9cvBjhfXwy7UXIZDFuvN+uH+El8/iWTYxE/U3Kkh
XLnZ1sKcFbOpoYPRLPkA1qpyfrRLJurDXND63bnHr0cj/IWDTIpEsAY76/Jg0BUqC26FX52L6sHo
V/3DwFWNmkq5W6e/MZasiyA+i826FL2+HMtqYs+MU1GF7pQlj7adwToti/xRWXVt56W/vtGItKHn
oI9Gxon08OVQKdfZxApXYaU23cGq5/7zOuTdp/uf6np7MArSvnADJLXO22wPVW/KKIbDGQpHaw9l
ZSvn2HLH0F1T5VPRdtoOluLGeKTNXCy8PFgcbs3lRLJGy6CndWi0vYnQf2rki6+MMe7egAREFsQW
zM7TuyfJYOQPwIdkoLg58ZDHm8IQds3j4CB426/Dcw+84hjVQ3cWtR3t7P/rT/dLOoY5SrdcyAqX
ny4XyUCpmK4axmvfMqNXTvHSzMf7k7p+iWiFSZExUNM2gnOb/WGX6IL0BqgUNeu0IEFh4FON1spD
GS/fHS3JY792SvdIx/nL/YGvzwCRAxktmR51XLjsl7MrY1OPEF8BhlCU4/rqkRj9njXaMr6BlTXe
fQq4oHn14ARJDOf2wM3OlFZQzqnZNbEIjSVNgoZS+U5ae/3B/lc8S+a24DS3wsh5I0BpuckaltMc
zwcoOW4WIGg+e+/eiZBlQTiAqAd4Q2J5uXZpNAm8kAY9zOa5OBduMgadkzQfBBakh5G3cicfu/5W
oB3A09NURp6E6uDleIoVZzYWREZY2IruYaVqlHUwR23jPZqVaX98787Aa4FjBiSGYgSSKJejWS0g
7IxzHTptpwcrkgCn2JqT1z5XlZ2FvPGKEwoRKoP15FBfKWa3U6/n3pL0YTlG+aOb6ZCoRNL/7HX4
6qgUpuOh6h3lIMFob2Ko0xKqibEYx/tTvrFzQBijQiyJlFRhNodB8bJE4U8GkA+iOvR9LpQXGx2s
dudKuf6QSF2BLiUgk1Iz2ywz1aOsbCwxhqgNmTShdNqIoOCVp6SftJ034XpO4KcoFlBLgj5DPnb5
GYFUaMWAUnRorLF30NV6OgrCE//+yl1nsijHSU4ovQxJTNtsFoyXMn3EhjZs5kr5Y0rceXnrKQc+
iG6KfwfylimILFvLnl2H/PWXoSccNeohUAvJFODGXc7OsBvNaat6Dtep0R66epgeYAeLY1cJ8aag
pfjuI4iwGxcX7HVwnrx9l+P1jmg7QjxusGQpkGPI+lPZdeYhhUezE9pefTiEe0DVQyDgVJDYbt65
sZytCRaPwZIiIz5qk3PqxlS8d8vLUcg/4JERdvGIX04osQq7BbNkhORJ/2hu4/r6WL/7dWMQiRmU
KFKurm3plnpKg1pnakN0rZLm97pw2iIOMicp0gdtqey/i6Hy5tdY9KJ8FLWRuzuByo21RNIPGDCl
AZnCbm7OpspaMeZCDT16hqdeVdzA0BNtp854tRmlRLp0+aPiYZBzbb5YzNGAZuip4Uh76CU1Z7hw
mtJ1L2bbpMfFnuLpvduRqYBmJXql8E5/dHO402iscdAwtRD3huQ7Hj7ux0IV7mtR6eKP+yf8xhKS
I8tPyIaxryTneotEoI5cLRxa7BmjpQf5CVFn5+2+sYR4e9HEgguHkdhW4yY1i4gYwbFC0dnz5yRV
tWCuKuWAI2BxdCYjP92f1dVNTCOGvJ8wwSYoJxm/3P5RnyzetHRWiCi37R2FUWtU3dwa1L+2OmP2
dH+460Xk+QbQQVGIVJHixuVwntoYfZ9pVugRMeCi2OqYj8NWar7/h3G4D+n5gsJE4eJyHDWdUdWE
cRUOWja+FWlLFFlX3c4zdv2xKLQBOaBRSa7B9XE5StTAdK3r3A45eE+tWvQHxarDRnOVQ5Y13+5P
6caX4oWxCY55lyUN5nIwNXKb1K1GS9pXpwfDU3J8LfUS2f5mj2l0YyhcWCjLcv/ytGzRbHHUu95o
L06YKwCKfhaGU+J/UasoTqcDZamdQOvGMtIIBOpD5YS24Ba2N4yJIyzk4UObevYzzS+n9TWvzx/s
WAWe3rfKXqvixgRZRKI6bgz+3qY0tUcEZdu1G9rVMJ16JRtOUY6b2TS270YUyW6WpCggwwVFbAvz
7O3cqtVlYqi0x+MDhTZjPKJpgw1nVeXqzj1/a2LA7iQshfI1415uEqQhynEZbC/UIxR0BqX5LXXS
/LHT9Z2DfGMgJiYl6Xgy4f5v4oBUa2M7G8coLKAohHPqjtaxb7v2i9nHyp6d3s3BQDryFwBLUI+X
s4JblhcJfoWoUdi16aeRO/yhdDloDvDbf777mIGhk1UKHjGSws3EpiRWE8LxKMx0az7MVV09tg4Q
WaW1D/dHugoZSWEomRmSSifd1ja3B2D+pnYaLQrttsq+Uda3zuiua8eymZdDl/XrQx17yeP9QeVS
XcSLclCpVYjwPmWSbZNuLXMbu10GLRRDPwmH/m2auXv68dcnmvtDeomoEhsFLnbzwVJup3G0eMXW
4o9qWr8Cp0ZAtWodf0mbn/endL07GMyV9Xkq2RAJNns+i91GGVJu4VhroqPWWOUTBeH60VizZAdm
dr16ciiJDgH5SF1ZzvtfdXlr9PphmRQLmnW6qseIfzmDMiYD7vtzujUQaHt0Hlk82XK4HKiOzaSN
htyBQW4uj3liWY9cMHsmJtc7kD4qhTJZmSNr2d7zLc2peXYLR1Yich8bTET46z9nXX2yeu8DpLGv
92f1yzvwcvfB84AMDCwQmCpsqstpFUpjp2kzOWGqja9D1h6yekHBHuLbePbU4ZSaHfpElKer1Xt1
yikOGsfYI7rI/XD1I4hTfxmqcPlvTjgUMa4saKqhjeYd7h15kwc61cnHok2Qw6wQYj6IpF78yBmH
T/dX4MZeBSMu4wVp+kUGdbkAmVBMq48qR+7V1gcDozxCq0fNrRV7dme3huKjStUIie25OoNVm+CE
uzphBhr+2dWFTQmNFmA5RdrOTXZjt3KifrEaQbxd3ZlZXTqYxrCiVSvavwr4Pv+0TvNu+UfCOW4T
XhzgUizeZu1Ijnq7wswrFHMiPlTOlLy22aDsBCPXc2EMLA0JDDh56GZefqE8qtfcEkt2RtrXgG3F
jNTATKppT3bxxkAE3PKeZCMCOd4ccdC/zTi1ZnYGUqMiCaHkBwQAdf+9G47KNIRTBgFPhw3K5XRS
ZSEKj63s3M/dfERTYQ2G0dQe6Gi0/2EomUYAsgc4esWBMJJqQcmuEuckdzTxPNtONAY0FVbjsWyi
Yo8Ufv3GcIVgRktEIPlqW5XOoUC8lldZnFG2qGx/7Yw6UFrLeI27HMReQRj07ktZjihFlog1uMTU
y7XEqSARopnEmWVusZn3lmNGArXzQl+f28tRNkXVSOjQY7RenEFAeOj62ukBtmTv102a70xob6jN
dVwpTdWm+IecVavuz+7a6m9GM3QfFmcZ3lv5pmGBQTZ+spaEdm39O0unJgkzGGqOUSyLs8nxO/C4
OxfRzT3BsyKDbTb8FsSpUGTNql4V5zFTFR9Ly4e5dxAHsV+Gtq/fXXtgSqQt9C1ka3l7U2BxZ2Vd
bYjzRIwdeMW4HKNoSJ/dbNr7UDfnZUsgBYHHNSiumqu54MoS59RYX/M8O0BTfx4SzQraMdqjIV+/
jxS9ZfFBh3UqIQiX23wYl8IpKR+eq9VKvjpdtxq+jpOJ5mdaNxn+WEo1DW8eh/mw5s6u8OGtXYmQ
jZwrtz3Q5svxaxXCgFHk4tw2isG+t/s2EODk+mCkyrNzBG7cwrKNRlSCOx2EaPnn/4roehw38jbj
TPcoqL4ScFcPFNejh/u38M1RgDLTtca9Gdzr5Sh24trzgNvZOZ1mD4NuM32c+3Gvynhj4VBHJrKH
dOFQEd48Xcai6tRWNC7gCmWvNHJWRKYjF6U7Z5eFdmssiRiRGAYqm+pmkySVWeRxvuTnsVk8/agV
dfynE0Xd6i+jV83BUFe8m6Vjwz9rkN/9p4SNpAVa4ah06ZEEfakUa/1naEvvtcpcT/F521Xz3fE6
UG7EzrgKuHXoU12u+zqo2qDkkTgLSlw/ADU3x2lShj/vf90bpxOcE/VHKp9gJ7fF1WxWmhTVR3Fe
FPt3YaSPLnjOw4rnYSz0vY98aytRA6L5CzYAPNJm4ZskKdaqLfNzorvVqRkqKRuxAPbYec1vjiM3
K7GqZHJuslObjaoJt8nPjRLlhwQ5ZT9xUvNwf+lubSP0nOSygXkA8Hv5gZpkqtN+qPNzWhuvs6ko
OP20qz8u8fszKpJ6MA6ydQ7qbMsmqyyvVabRzM/KKqZD4TnLaSmS+XR/PrdWTfqUS90WGSVs5pOX
ddJT/8zPpdcVh2LJR8RZDfPHfxiF54XLUXZHtgedF9RI0A3JzwAlq9PkivZoDuB+/l+jbNXSKP6q
tR4r+RmGdxpMY0eU2i97+hq3Vkw2daVnDG/otrbjxEwxqRmlRyI2qEahcxOgu31/Ljf2Gekt4AL+
pnW1bQJOVqmYQyWW56WIW2zfcD4YX1RhFJ+XOTb29J1vjiYvHdmeUkGkXO5qJ0lT00al9bmb4Dv7
bmnaQaQJ49Clpvr9/TOzJRCEgiap3lafJLHyKKMLsjzrjds/gBoWua+znt+1PBl3njH5uy8zZ9lH
JR8BfS0LIJu7p1anpRxra31OMqDeQAp60Z9Hd1Lro7Cj1DwKJW/UwMXvdS8oud4m0mfF9iQChc7I
9tpb87UyQbHrzyZO6V+tCQ3EzILxcH8xr0eB5YSMKnvFAxS8LdaKdm5ZT0w29NheT3q0VE+qNtbv
hXgBOpaxAB4rUtpjGwsrWtmusTlg5IjmxYcKy/WnQam1Eyrpe+/09ReTubIUsPuVBm6ZWzF+isvs
SAe/vHACo7aLP3WlMd8GM3YP2qJoP+3ReDdIj/lh40enkQYP9aVNtKNDtl5mwfzoY6arbw/ecNAX
Pl8wpiDonXEck53zfXOesD8ppTJR6puXJ86tIwi70gvcSCfVj2cngZCJeUOLYeaJmu7iZ7b9+d2b
hdgC/VvUdAzzqqlbDJGltxN2FOlsT2dl6oc3HuJ325BRxocKB9hRltlB2lzOzKMv5xSFyiiJAn7b
TvVHI1Kbh/tz+XVNXB5t1NXwDOCBlPSKLX7Bc9NSjRUE1PPO7KbfRGLkJaLdVdt9LoDQpU+ynTf5
RVr1ox9BbxymYM1MVN+sRkWWnMi8iIJOW+R/1tFpfvVSsLehmjTO5Bte2eZH08j71gfX71moDqbF
EADsF3vP1vXly0zYCLLVDat6+wSvCFFVpsNMusbAuA3jAvMffJTxMe3EWu2qtN+4MmSmBAhdKiqh
X7r5PtFQeolVJuFqzbZ6HBA1ax49NW7cBzvqNO08Tihnh6NmDt4XlPPK+IlfWFCBWVOq+yjjliWY
ZEtpAmPBgLfwrWhZYwQSlemzPjiDEriLEZUv6dDq/WsvoikL2k6d1T9SuyiiJ9tsqglpAUT+v0x9
5Y3vbilJwT/yIwqXGi32zaVvLe3aqJ0qQlEX5NH9kp5KL85fO8pox/u78DqQ5tGEqETBGyQ1gc3l
WuJzgqRL1uZh75kzrK81P7atq4IhYPdE1fpu6xpQ+xAzQP9Rz4G4tzlbbu0JNdLXPByjti0OqxXl
7qHHuuKTrmeWuhNP/TJUuDxjsD0RjQcgjScxMvKX04toONKhYLgCE4y+9NehMYZvLiA95zAICt2l
j7a150C4MZEA87uss+JgslS3/oBlOyiHTBvSH0ZrI15Lp76zTyKLNeOczA3qMdhleOUXL830+VDH
jv43PrRRAaXaKuHcx4aSHO2eWu3vuU4ydlKMFV7GnJDav1rl6P1NvanJfJ3f44XrsKjdQ46C87jz
ja/OC7oK9LwkNJGHFt7r5SJAMi2zpSqzcJx7018cJTsIL99DCl4D6kB6sV8py0g2L/3Xy2G6ul+F
YUJ5a/FHOS6thnCyVVqnrI0Kf4wT3cfsBj+k0kKAh+7iQ7es6Q4c5nqqUHvxg/4FhaHEsPkNSVeV
hLdA8xFj0J+0Kep+05Kk++3+obm67yirITElEYrkN9CJL2c6eMg6IFbRIgsa1YfFXeogKyL9wVKT
vc7JjQnBzORlB6konVk32U1VGR3WF3Yb1rn+o7eEiYQLHjH35yP/JxenhPmQdVKKhoktC2yX8xFF
UrvxurYhR0GYx3rliB4iM7WMg9J0k/WkUjmwjxOljr9o8YnF7zpD2XtF5LfZ/gq0TRgefhoz3dx6
CGp1jWMjt100VfVqpWP2MGfF9IAtowVod3Dih3J287/FZKs7QKOrW5AsVeryQTUA1EQj4nIBFmqo
ZosxWxglw9dRmMNbNHRfrMY1ntUsyXduJXneNhOVHt+8mGRh0m7+cjT0TCNTSdM+VKrWfoxUA9p5
nVVo6qdVEXXBMpUj+XLrrnv34fU8oXHKPjtaemCItxJRaOdZWBghgFK0KHQ+TY5guo2uJaexGev8
uY2qptm5fa4/K2PKdggRscTBbQ9LgbNbn0Vz2K0jUUteTor6UrZ4XKWHTm3c7mWM+qV6q+tEfKmq
bl1O93f39WklTiBjJ25DFIvi2eVyS8UObZptqUOkWV9F7qlPprpCu8Ldbufhvj6tSKlz1aK9TJRK
m/dyKG5GvY4j5IByPZ0+m0O2vC1Ah3aSmRsrKosdgEKh/EJZ20yIHpbSqjm3qL0ISwkQ+VJ7X3Fg
sRzLalzaEOsoJ/rYkiSOvkqltdi5Za+3EYEXSGJ2MERAhG0upzkMmtnlFYxVuKSKLIQIuwuq2C7S
FwhEiHS2kIb2OBjXn1EmGaQ2iMqiVbENMj2UA8HbdmsYi7E6xMPk+Z4KLBC+x5f3bhhuH4rgsJ6w
Arpyro/XeUCFRYNCmlr2I6IQ3dFotPhBq2dzJ/u9vgrwyqR1xwblRJJtX64kODezFEujhU5uReh0
DXoHmWXRPxEapp8MbSxfJ0VLdo7kjaXkHCKtCgUfTMUW/WWhgbSsPaBRb+rcR8Q/osWf06b9mFTo
J95fzOvNClqJ5ZR2rVx12yvHkSJoeWPp4VpQSMcnQktI8xM0iE+NdBcP4kQMw5utFdP3eKq0vQ7i
jbmSmUiO/P9CEzdH0ol0AXlXjUNTWnyZC514PITmpxJDyJ1zCbiXz3V5s/+qM0izSTJjYozLz6mN
/VKu8VyEUJDG8q1Sxmzw485KVs23exTYnuN2XLNDrGld98R1qTqB3iWm8ntepln8uRmgoIYm6IHP
Y4cgYR1M9qqiZTaZZdYdejda06PjSa3a1MvG/Isd2fRdx9zvShLUhF30hbSyDWSwG6xzbDr+YCri
hD5G8Sx43N2TmJvuN1AQSiBspIKLMf7DNZPRFynCD1h7O7mGhDuKEL45NkNQ5Vbe+51oiyooJts5
dPbyVyOs6oVWpiM+aGaqGZhOjdlr2Tvzo2fl5lPXW1F2iGr15Cje2h2xyctgma995wHBQw7Xt9uI
aq1aG1rW8ONb90Ob12MbFF4TT4lvgMB1g07xnGcL804oO/1yLgx9WoJhWJR/2n4kTo8hJ/+Q3uRR
MKea91q6/SmdQCUhBd/47qDlv7W9QX7nruNqBA4Pqh+vTfJgIDM5BOSzru0jb/ajjDTD73UEeSN7
so4uIePsr3WpLsDRcN5YImMF4WTVh9SJOSYuSkZ+FNlzMOEKMgR9ZZ+MJUc70izVg8szqgSQ4ICa
lxk+tT8H/oMf5tJg1Nm1izD9wdNFGRhZkmRH0Q7d8OyiYzUFCCjWtT+K1XMec72HVG4XkdU/pPFa
tAdDIEdyxLUj1h6pMkXfTHVO2gMfZ+AEl8Mw81OTdS38pEMRIuhMVemfBi0ul5O6FGu3c3tdnS0g
lnCCKIGiOggRdvMQrYM115g9wkzo3ITWE7iD3/Ssy0x/ctTu8/2L5Opt5T2FZAVG1kTNhrvk8mx5
Sa3pkzmYoULV8mhlw9e8LPaU2K8iYagxEPyoIdOGQZtoE4PG9pKpfBOX+zhFt9GgNBMHq7l2TGnN
3Y/q4lZR4Jpjy7euFVF+UMpaTXYCxKv3Vf4KzFb5AUDErnj8lVsZCs1LN5xNlw53rNLz89ruxaoz
3Mo9XCbvL+31dyTARTVSww2JytqVlck09EjIDmi3aR0KoU48pz+TMvLqA4X25uP9wa6/IyBnWQWg
3ywFZzYXstr0jZpQwQlHvRSBA73sMJfVHp76ahTg7lLhVTq0gG/ekhupJVtxzIURdlWG46XZxF0C
mD8qvZ1vdbV2iCCQCcLldRiRPOFyWxpVPkZRUVmhghmXHeSmiL+Mo9H+3VtzugN+vzEWeGYeMgnF
QnlC/vm/OueLVY3JmLoGlj1dswYIonX205LlunbAyXNXi+XXp7h4zoBIUepA249olnBhcxqUSdaN
ioGSYlyPAyXF0Yt8VRTD9OZFCZanS1Z4n4CYpOmj3ujUvK3VLcZnq7DG/tDiWWG/VDEx2/OKNWS6
s/JXsRO/jn4fRgMya2VhLlfDbWPR8vDDo6AYfMSpKXlpW3UG2adUFHxmp34pWthaO8ny1eGUeT8b
WOKRQNhstdJmemcxDl52uMyJ81C0Xj59i+cmdx6GOhqrI7n8+t6eOpQK8jYKgsCurjdzI9Koy4a4
4p4dRXQSpoOpWLe60849cBWrgauhk8rOQpsC4tJmRQezTNwxypawKLXomMK997Np/MurhffZMRbE
DKrI/BiX016v8Pq0St1WSsfsbX7Br9LSvza2kQkBT7dWwrE37bDrp+wZ4Oq7a49UaqDNgiZGWAiE
3iY6G6zUbbUoA6mP3wv72Oq/OEMTva7erhXP9d7EwBHLbEgBkn2zRYJ6xdD1pdN4JIIi/zQMjvuQ
lL17atypOzi9Gv1tiz1diuuN+cvdgg9HL01qhl2eh6Hv03qhQwSAOTFeyZZyzNEmzckPbrcoy0Oi
tIX33h1DdZWmOFgPmdyzcy7HLGlWlKY1eaGlafXXfp2dRyNtiwD4Dd7Mdpznj43IxZ912Ws7wceN
PcPQtIGkzjwigpvNWjQThdjR9MJIRPoRb2jj6InZ+C+j0FGj2seKQry+nCCErLRTO8sLCwrX/qRE
pt+hS7OzjNcXO3Z6vFb0mmRV3N300mZ17AUqzF4461EVIDjlHtp6as92RY38nc8vX4wBSE+ojvKP
m13i1LM3rjaQ3q7ItD+pLdYvZVkk/9wf5eomYRSUWrmaQaWCTpZx1r8OtJNUVb96cv9TA19/ODh5
vBlrV04/8iVxu0BxiH9PJroiaB4qWvHj/vC39gb3LMdARlJcLZfDL3U1qNUQezyUURp0BWYl6jrM
Ow/QVbDIJLlS4HYwBjRk+Sv+Ncl8qdcJnRI3zNHHMA924nRg58SaDP6Qq17mp7hi/WnUfbPSq4Tp
CEpATHsomxu/AlSKSehG1R0ljs0RJAaHrEiaFXbD6FpHfZjLt0FdF9VPzMk7G92QeH6e6et6QCE8
0b+aRYIV8bsXXErz0iylJIS35qbPoikVt8PQeaG3pOXRjCKUxbyy3xnlxg3H1UaURdELStq2Tq1E
zlTrrcthdMfSx8P8exVpqa8Z1Xdtcd7/0NODA/7OlSnbjNtAdUkjPVtQE4UjN6qv0DniR0C6/avR
YqbmmNEeUfPGJSBL/cSqsvkMufFyO9UiTii7ZVE4YnyHFAHkpGxKPd9p7XWngPdrpS4jO0DBBMYw
Q/CcBN56OVY8q6iK4NZ57mZ37Q6CN1PK3eCH6seiND7Ojojyk42w7T9jhRzBm+0lbuorHVqpeaKP
Y5AY6PofRm2qx69VKbrmi7oKIu0EhdzCL2t3cQ5q7MXWW83yzm9ahVP9w2o68w/COqt4KMZyyA4j
4h/qeSh6tzqIJaJFN+MpPhwGG9OJx2Js0LE2pg5TCH3kLPtj0/avU6/EZqA5a6b5whvi7IM5lA64
GKu104eadsYcaDAx+sMIZtI95EVkmMepm8ufuYOG/8Mat8bIITXHKvAUzfo24jJd+pPXm81BhYkC
8k6psuZxMey18hvPjgeU5OXlrIl1Xp6n0kGW16mJzHb2+PXNSfYJgEnmR5KisKmtjq06AEWHWuXG
6nlyRj2wu9ygyKOhvJ6hN/NBAnNeaGLvGbrfiFl+ESe5N8kugD5c7gmCXUCiNacLyvVyRHtjKmlN
quJlGNLhKFxj/aBFwo134ukbdzU4Bpou0GZkzWyz7cWEOOaU9Eqotl7aflFxNGETTrpS7ETR1ysL
ZIuLg7zekg3hzcpC/ZsSrR3jc+JGzaeiGaP0YE39kj/2beSKxNfpWfa+VbqN83F0IQvulEJvzJS0
FxoSsuK0t7ZULFwnndFpYtiHw5B9qRbVPBrVaO9UIW+NAmNTSpfLy2TLd5qFjd8qRzmcFjM+psmc
BqbZvbupgvYGuTv1GGIvuhCbiMXzGhKWDlJjN7bl5OtOvj6iszPHgdKUe3Zy1zuTJ5z5IHIKhQzM
3eXOxIHRnJqqiM9dPA/nEZumwzizJ/PCSJ4oQFXfcNfac5S9Xke4YmhS0jYnTrqSBWjX2cur0Y3P
Gvlk4PVtTGDWvBuNK/nXyChS2ZKaPlvMr6DD0I6JHZ/TNtaezMLtfvfobfiJPlF2vf9I31hGIjKa
yRDMKVZshRspPMcgjYz4bIo1qOz+J9oo+LNU/ZNNFevgKjsH7vpBY240bQB/SumSrUZf6uZaEkUi
OXuTq8Z+nKd5QJfQ/OI1hNH353YdGvCU0TWW1kxULLa7PhaVsjbY356t3qGFss7fUJT6K7LV0YeF
teeM9AtOevl+UvnCWg0YNXk5rY3LHTk7yCLVbaSEk9toWTDItDm0rTFWeSxSRf0eiZGbE43vRAQx
cCUkowGVVQ8jklCq3yW5Zj5owrL6Y0/P5TvyxDQm+kmvUHGqelcJbHOp6r/uL9KNDyJFnPi9dJ3I
fzdXrY3aumN0jY2oPMrydNj/ygBPPad6vhN/X1+1VIzgKnCbo1FFceZyeRaP53H0hB32QBYgQdJX
+kSQME9BorjGG1YOQzgXjf2hMZPu5/1J3ji3yPmClUDy+Vfh6nJs1yyEPU8IDZD7pqest1Wfqp+3
s99uLCWCIWw4Wj2garbAopX+5tjAkA7T1LFfikWlaQEDe/oG3ST6+v4ZsYoQF0lmJN7yckbNnOsE
BbZDxWkpj//D2Xn1yG2kbfsXEWAOp+w0M82RRhpZlnRCSLbMHIqxyF//XZz34FOzG03MLnZXi7Xh
6mKlJ9whKsv2qTbcrRv91ndD6AIhZIagCrPa0iKVpShl7J7rnl5NDQiBcMPcCm9unFNKsjTi8YVb
FPxWc2kNsF8tSvc4zIw/FDF/kvUitEju4BsCMc33fzn2IRcD1yx52urJj9M6teZocM8Y97oPfZUa
h1qxthAOt/YCIiGwp+j7o7OyGqUe9AJtTEHTwHLkXxNdIpeE1x+Rhfjv/nyuMVYgrFCCAsX8xqlY
u3B6xRjZlaK7ZxOPi9pH/KfM957bd4+l5fTR3miy8Vs1kGf6BP5pBQita5OdaiOPdbj/W27tF34G
7n5L/gsm93JXjpVbdnk/u+dYUTSyvWjamXblPtwf5da35d2nG0P100M+4XKUtokd+DY2Ex7SwVfs
sTvlYdn7zjxu5V+3tibQcHLYRW2Azv/lUGloyLo2aEyAiWz+Kly1O+uD2f+NsKXuu5Xufbo/tRvP
8eKmStpgEt1w5i7H6/VptPK89nAT6eZxoWCIh2rWQFLEVfdKc7bYxX39bgH+Ra6B3HlRIaBDskbI
Ja1WaVIu4ihuirxR2CvPY1VUB9cW0f9wby1NcFoVJDRoD19OcISZGcYhp28eaJdGWufs2rnecqC7
tQ/pwQCYxUdkKX1ejiKSKB6thn2oyXZ8UsosPkDD34oGb22ORdRuOXfwptatkAjd26guJLfjwG4f
y2R4SeKqfJaOWj5EUVn/vr85bu178uJF9MKjTrcWfat14ZH7ctBTgquHKdKsL5OKMKIdm8bx/lBv
67AKZqgegWh86wEyxcsvGLtIKIWz6p0NS2IUx8/JX3qvMzR/nkez2xWO0xcfmqbSYt9VDHQSdSFm
xY8qJX1B3c/42g12qT1NWZZ/8aw0/xqZ1vStRoLlWxlW0wusleh7anapuqta5W9KofqxCFNAB603
1qcxFJZ8MLs6Lw41XtDo7mf57Bw4C9o3M3c7dd+6aYfjTlJQW9OywtzA/72R3tafYMH60PNAipH7
9fITOBHMzT4kndHz2PWEn+dS7f20MQD8IpZhUWWiZSmjn66e28aPGBt0d29UlgmJMgHscFbRhC15
wwBqfB7z0RY7jMyiB3gZNeZHTTnXx7Bt0/CxVLs2fjFzJf/v/jJe75iFRQNNEWgW4f1a26aBqyxa
mkRBbdjJlzExQ9/N5jnAb6nbuJRvhHcoT8DsWurvi/jA5dfSY6cEBc2lLPViBsygRxqCkqN8aKqp
yvw6Gd3HXk7DQdOr8P31AoPCMhc0mGZKjmv2lYo+1lxTxT67FUwXL0V4gAD7/XEK8QntG8BRhLEg
7S6nmGUWxCQJ01xmcqYGR60ZLIbed8U+LZOawLXP399KJoZAIAuJJ/CoV00jxymauZQRTMaW4pLd
lskprYTiyxqLs/ub5fo6A6HNNQbQAdS2uibvqHizFyruzUFKswiw/9QewGj2j24ljX2V5XLjgF1f
0gBeAWarjIp54RoYFUWh6bXT8jlzORxiyqp77Ny2QpIbs6LXgAAdXWHqPOtFq7RJzaYqzgMrSyYc
Os3TlFOgk0V4VFzpbASXt0YDRrcIkHJtIE10uUVG4uTK0yuwGVrW74XapEe91BCA18QPu7Ca4/0l
e6PLXt5RqEFDKYGyu1QL1oqWmSTZEslYBIbR6emJ0gTIKgUCX/sQmm6RBnlbVfWTNOEt+HKGfrAf
J8szd7Gamj/xYHbdw6hWbX6w5wZkkdNMzYcRHgbo4ywdf1WqUTXUTYvEoRJayOLXRKDQ7N2xb3+a
NdVi1Ah654ul8TLtC1l5yV8xoJj5hSBmavZwYjL1oGfIeR0qJeo/942tCV+Mk974heR22hlCzv9G
bPTBn4fOfbFBreIwqYvhS2+a8J0tUrf0ZFfwhPcbn4/VWH09sjSyDiL1xch19chJJdZnE7ftgA5G
vNOMedgXVTEf7o9y6xJegLlLd5m6wFrKTAPaUveWKINIsawvuiLdr+EYVt86M3k3K50OAU1X/k2d
j5hkOXJ/dJ90T3Ipib4M1Ei3fPQN0oPVqVuSLzcnREhAf5WexJVsX+L0Xg5MswwmZPKPSHUmhxJE
4bHoNxOKW0NBcF1ICEjnkFVcTkhR7AT1p6YM4iScTwqeIgjEiuxUQ8LYWKYb1xFJ6NKvWrDpwGku
h4pLr1BixSgDRFr7Y2O74dGkCLyx5W5O6I9RVk1Q6s1VWhWyDBT0zn/1IxCadnC0k9SndON+vTUU
db0FYEt158otpU3KVkX9m83Qdp/xjcS/r4vinZTDlkHTrU/3Z5ixCuozmY1ADAkzokjPzuAQkl3u
Kd7T/XN0cxT2NfxLUr8rokJkxKpQ8IgPDIyyfXJNdWcriXt6/ygMAPiNNhjCRqs4RgxDag+6UQV5
bocHBX+iQ9OVW+6UN9YGRgvTIFah+L/uWlIyiBNRamVQ0GryaYiPD4XbfBahkr+7wYCEDKBVcIt0
+EmJVttaoz7U9S6HtZRDQoNUix6jrHc3Fuf2hP7/MKstEMZu51qtWgaDnf+rpY7+QBIw+mh3bTlE
3hoJPARVL1ieBuKylxNC67Bqpl4pg7RP3CMUpbrbpUZkvQAxTN2N9/zGYBAgSfK46djha5szYF9J
mjd2HehuPpySBBmVqhb591o4WxJhS2iweozo2CNqtTxG7L5l+/9xdztt5KWeiEWwSHGgNiy1j103
2WcxZdpOLxIryN3G3Aogbgy6aHsv2qg6ZfZVvFJVwoncoRMBtsDKcOzsKOz3cesNr/dP1TUgAR81
KjULfPqtJHY5uZysSG8muyTzkC+yFYhtqj+zuoJKmT6llZH40TS9Ytn99f64N+6MpTq2oJHQSoDs
czmu2yqTTMO2CqhaFX+LqU9e8N0pDxujLJfC5doRR4CfQUZuwcitoQ6JPY95zIkOkinp9M96OdvR
rja56KktlnVzctUw7T+NtRGbz70FPNDvzCHqdh5vjQzwME7jD/pME+OpK3TpPZdDNDSfIr1Pquc5
RIrMn+Uct6jz98NX4IDiH89L0+ipMueoONsUaZ2T0eMhj32oVRPGRCz5wRMAMIHrQYE6qyCxtZ06
tqRFY6+GP+LRLGxfdafotzNIvJK0eqjE6+jU8yfdKvLhOOem8jmnVIXZbJsm/3mijoe9Hab6N63u
xnjfOKPdb+SR1yeOTwkGCQOjBUu57qIoyPPSGc6rYMqhjTu93e16C25DlpnVxuG+3hyXQ61OXJzP
TZeYSRXEhpMdMDrvDgJ677uPGKNQ1F7QXLzC60qKkBLBRE+Qg4eRctJSw9jVuMP8D6NQ1eblgtOM
p6V9udF7s48TjN4El8Q0Ow+DEcsaZYnJTjc+2vIPWm91rr3lUSEhJRu+HEiy1UKrYauHmdB2jSvb
vZAjbvCm0vSPuBPP2sbpurUjuIEX5i6lZZoElyO2bp4MHUlvYMad+6/lpOKrUXWV6lu0IjY+41u/
82p6oE1x2SEUvGJ9Ol6cGUrXCPQChIV9n5W19Sfp1vF0JH1qvvVa2Ndf3AmlKSpStlbu286c5MkK
3eRvkRS16sNDVsu9W4rUgyBgz8gXz038PYd+4e1cwdu7g5yhGzRXPWvYZd2cj19sc8gdvxs6yz3G
M7wCv+/KyfvMxZ1NJxO5Vn0X9VEHoZia2OSbbmKZpy6ym96vuET7PQ7Ns7KLas2ZfKz+9GpfYkAW
ub5LhaJ/VB05Z3u9jNPs3U8/BEpYhwgtgXmjDXG5PnyExbFoZn2SpD5QpFQOmZdmPg/dlgjCjc1H
138BwpDs0ohfxegVHBy7q00RNBMeH3k7oArdGgOdqVk9zXn0fnA9igtIy6O8tVj+riXFnEiP6R1K
EVhpmf2aERbr/TqqGxrXSqJsYZFv3EdMbVGGRohp6SBefsgE5SC7ThhNVed2B3Es3TlxqG2Uea7j
DObkAI4FW7pgJ1ZVLI9CS5MRSgeSZs1nNmn1NevFuOeWyvzRiObnJvby3/dfyBtneMmzHYAab8WR
1TtsjHOmJQmDWrnU/UHNe86A+69ZjPP+fxiJbUg8wyZBruXyI5aekGHVuyKIugk4HjoWwvqYFBgk
HcyEp2Vj899aMwIM1gs9dIrlqwCKelWaqmj5BLM6hgcDE6SPmjdvGUTeWjMaUItT98I/W3cavNRM
Q6uom8AT6mz9Y0FNG/28TXALTWu38gKsvk33oBCBbYEoriM3AIbET+x+yEBk4ZffM9NmHGdHpwkG
fSh/ZLzPMvIVeIaKr0SVlvlx2XYIG6VpNvtG5CiNn2RGbG88O7c2EEQHIgLaU4soweXPaHStioc2
bwJLq8xj3ZjVp3A0xUdrTprH+zvo1pLSYCH1o76xuAldDtUliM1jA9MEIvOG8BRZsW4fZYgCweH+
QLduM4waF2TCQite9zGbXkNc3LJYVcibT1GudOBCxCCePH2av9rALTfANzcGRAeN9uxy+peG/uXM
bGWeIce0IkidAZCPkfzy4jLz3ShLwChvgc5uLBmXNJVkmuzMb11PtsJoBHLBu1AphvgUZ6I/JG3r
fupNuRU03liy5T2g2beIboKQvJxYnWLCpY9cLyAHATZnau7LcjDfv16II/L8gLogyFr334o80Ub6
irw+vOKv1DpmOkBJpX+wRmn/hSzbFr39uqdC7ev/D7juPs9gIlBsskXQVVpOLBJ/qvL8dQbMDaL6
GezWf8KzNjrQtz4lqQyZDF0HgvDVa94nJZ/QcZjkrGjNbppmr9ghraS9vwTCZbIA3UAEUQlZ35ya
ESZlR/4TNB601LDuFD8UWrkbJ7FV571xfTIUGEH4WfAp1uZSSjIpTSiLJuhrg166q45T4IVZ8ljU
U/Y0pXp3KNRwCwJya1QyT2oVwGeghq02pRNaTpjKuA3KyYke+qzVjpE5dsdeN/vAHFrxYI/FVsRy
e1A6OPT9UPRcl3vGIos8Mw+boKTD8diIefD1PjQXZbtmn5S8u3m12Tm6Nr3mu6JrDqCGW5MqyeqR
0CYjBWJWtcEwC9EcQyWrH10+9Sf0xkHu2lVbIkCRl/tGNTIw1a6dBRCS8GJLLPjm96/VG/cO4AkN
lgf8xAWmeXkZpBHcEZ5sfkxpA9QQct8BMt5FWMZuwGpvfGw0/RC7gKUG13n9NobDnDcjgnfB2I75
z8RQox9YMdZPsPTTF89QGoKQKjrdn96NA0rfjA4r4sycnbUkjikGIg2z6gLFnLMPc1k6T/DJy41R
3vLsy0SIMgKSs0vFBtXe9dx0b8SI0+Qr2qJuDoXUcsTxGxuxBpxH8WJNYa3n8z7Pku6JBuW0L7p8
2ut52R+7okctDBHW4n0rC7Ec/4Slwby0silnrsL/drZHO+2c/qy6VFaMsC4f09mLz9Y4v5N9uAwF
8JxsfXEa5o/VUEmdAFBtEnlGFlLxdU+LfP5u+/iutXwbZWHLEwLwnZF1u9yqOTbWhiOFPKtGru5i
S22OhD7TRsS/RjIwzCKMB2uFi4jm5Lq0CEUh65okmc9GSxU4yL06bk5jMznchbQJQLlrbVs91GZp
FAcbu9KfidLaA2Y4Q49WBS28f+08nctPpRHPceF3SWd/z+DzGgfDLJ0Ax1atOmSQNJpDG6nOO61l
lt/PDGCP0QfHsmRdQqGf6mr1ZE3nUtpU/uFiRPyGHlRWYeQbG//NeuePjb8MxpkGusezxM5fK+F6
VEJNtUuNc21r8MWokDXIB0/okLAP6PPb6Ma1efqQUjTT/VyjPnzEEkwVO01Pq36Pi5D1b8tj1P01
FrWdfIzUbMj2pihjZFOVaD550zQ4fqYp/ddOH0VG2pXbje4XXe0ahzbpmuzroM2K2JtW32lHI0au
hLGntNqY7OqqpM2lop+DBdGi9QVqf9UcqEObEjP2VMEwuEhJ9H3nd4783s56vxE73Rhp6aogt0cF
h5bH8tf/qG4XHdR7t9DbgNKR4AVWf5iioVUUKfv7R8rhH7RaPrjwS8WBmhtcw9VTZMPoTes8M8+G
h7gLfJ6028+KGu1yPbQ+DUZS/FNZzTtdXpZNg6T1AqM2mB6Z4OX0xh6NFKXWjTMZmGb7JujI0wzr
r/DNdpOUs3oB3gajQwDRHiYHRdLlE/zxLS2jbb0snc0zkmEGt3I87yFSNxuNo1WywCiLxwYvAOeO
TGg9Jfj6unASxzxPSGM+mkMcvRq56T5biTY/YP87bvDPbo0HoHMh83HE2YyXs0pyT6LygWhCkoS2
D2ypetLsJH00+gi8QdlsCfatguu3+bk0XHAQoWYFoe9yvLDz2gqdKOvML4q/o/Q2HmvaVY8VREW/
Qp3nA/35+diiXL/xjK3Dpf8bGnuWN9oR0MvVAraV7kJyxUNQKEnjcyzjUxfK3y1KXY9jEhdBo1nJ
viYlO2WhV+Jy6eH3MPHd75+Vq0O5SIUt/W6P5BP3+dWu7Upo2A01ROjSuX2k8CB3IbyTvVJXWy3i
VRnhbcqL0huiT4tY1zqpHlpPrWYRWeeGiM0v8krdJ0VV7ouxUh/0pj/3PQNPXYH7X1xFG1WaG2tN
+xPODlgZGABre80C3ktudTo+lNVs70SiDyeOEB/WSjuEgOr4AI8d2aWsnzbuvTU6e5n4xdCrbdbX
TWsrIrbPjRDjodMmJEcy1fpo6rVznEHY70KW/WkYy37Xij46mdE7gVZvP4E7ftHcgvd8RcQ1Yftm
tZva5yQt7KPQtH4Xt2JT63N5LC5vXppfkNV5TRBLoNu3OlAE9BUap+pZaLZ0jkMTUmToBDaIhyGJ
1cp3EPisfb1NtI9mKwa5Hzo6Z7vGc4puN9sYnW3kstfLDoGKnggK4mSz+prRmutIf3a5oZ7buD7P
PK3yyWidZ+JnfLsd60OKXsZGrHV9N1OIYJ8v3xngxfr5AWM9Ic5p8hEKKz8oaqz5GBnKjRvk+jRx
RRKgLnBLehTruvSc5YLWXmicp94ad33dD48tWN59mYfRsQIQjc79XP9Ep4qCfDxsKdTdmOTyvi54
JoOwcp1Pi2mmdJUU5rnSKgvNIy8JHAANG0fn5ig0wrl3SKHdNT6w1KyiyZXRPBN3q0989exLGmXO
hiPSG65ntW1p0BEB8c5Rol5XFmvchJHUq52zWnn5cBZJpkVIoAlgbXgy1m35QVfq1npGuLGLnqfU
9qRvxmX0252dNHxp67pXublSM4Oc57RoHMQ7NLiq3+WEo9iDAo1QtfyiCZ0vMRjgaYcQcPItUV00
74RlCTCkSlaozovQ8nb0k4nC0w6ljPQf1YgH/dF0+g7BAqWy5TuFZLkYuPe5oPh+b+nB6m6yYuB1
MkrNsxRu+UGgbw6X2sm+339lriMyXjA6NjRSUPzgIF7eC5RSzRrZAfNcRqF8LbK5e43cDrr8IIwD
jefh2CjFsL8/6I2jj+fDgi8ls+J6Xw1q6pHT6jPeubXW1Q+6XSiYGRrGA3GFiY+clxwaz013cSey
LQmIG/uWzigPKh0xapLr113PqwRTHhz/sCYb9iiHWfusL7YEY2+PwnuGgDPF/fVFo3bsU7DozlkO
U36gM2U+4b+2VaJ+46ytTgfFJGJbyu4L02yVISRagyVCDAMsRWIQVxgFPOao4c4km/Yo7DT7Pmeq
8SJHNXn1WNqfvHXxfmja4ScS2tPL/VW9sZWWVJnaPMV56srrfFnkWL+1CsaVQFaf6Io8txleQi4k
0rgP5QdPMdLj/SGvYyTqWQurE9YFlKZ14BJFUW1B0UYHrVTC5673zEMymu1DaUp141a/XlJWk/SI
1aQiiuLS5UFJeisSxILKOQfxYPtT79T6vnDsVN8I7a/nxHLa4GGgNvFAXpXr3FDSHGuVs9JI+b0g
1898RzT6X+HobemKXh/EZevwUCydKwpJq4NIj04tvdllrDAtnZ2aD2bpF5lbiT1AqLj1VbNJ2h2i
PZOBoH6qv9N8ikvOAvtGIsifoPfXQYBXzXMbaWUUYDft+jUV9b2U4tt7dwmDoNVKEk23jELo5dLF
SdF1JhKTgdPWtl+YTvcFOui8K/vY3mji3Fo8wBdv4EQu7zUtRdNYswrvgqCqCv2hwerhKLrCeqri
SNs4bjeHws2X6AkjB9LAy1kZEBhJiTro7n35qUnM+oFS8l+zk4uNQur1zkeuBmT04hoCMGn9RNRe
l8ZR60VB16rKc6cOxU8tNsv9/UW6vj1464CfoXX0JtKzWqQ+TGSGnmgROIW72Mz25bema8Wv2rPa
D7KNuheBQuDGcl1PbXllua4WSSoUxlbt9mLCJSyzE+CKLlgmGEP8T1h2zq/7c7sxDJRLjhcRPpNc
d8AkPAde7q7GdK6lr5GbyYeeJ/n0/lFAC/IecI6I85cv/EflISbESUMBOibM+25XA8Xc5YW2RaK4
2nYEzwRF4NgXNXRgm5ejoCG7EHqUNtCzIdzlNm9npOUZwhzvRS6/mUCAjl6KXwt3f305gINr6gxA
3rkbuu7VmK36x1Ab7wR2vI1CuG4Sq7MDrmjU5L7DRMaPCluUjK/ljDLsnNjdRiR7tQUAj4DMwkcD
hSvCguWz/rE4LQEN9xBaLZ3Uqv1Qx9HemzcVkK4Xh0SauhP/orcFXvVylBJBFG8SUK2QjTK0QzLb
2ckrPGPc6zVuIff3263B6JzRy0EIcIEwXw5mm3gqtEbonZNxju3H0tUlldSymEJfh5m7cYlfVaAW
p83llaAoxHuxfn9rZa6rCTDD2TKF7dt5m/mVFR8UWXyLp3JLWPHWaBjukUFxZum2rs6SHBQkt6M5
PINk0X/IWmLmmdXKY0dmF/lWZL2zfc0uXLj11Lapf9DSWCc6at+rngKEMzBANO1F3nSH3iqnFj3m
ri5PxJPvlONbRlz8uwBqwUKgmr6qCCR5ZHUjPtv4bQ7Wb1Q/lJeGOvDr/U1yve+XMwVvmXsWMtRb
te2PfZ/DttVoRYkARSf9i1eH4m/oReLhfxmF0IybYqFTrOZSQkJC8wqIgQfb/oArNQU6MW5ppl09
UdSHWZylfrIIbq4rctiD4YVgd33glbPzMVMTcRjwMXgyUoyeMnucDnmtvRNgyTKRBdIcJ3pBUQLm
w+Upy83GUtCJ7gPE6oqjVmXpXm16BKNhDuzvf8Ul2rtIJ1ZDra723qLl1dATDvTCnV8NOzX3U7yg
vzUj2Se5zF68Kc4fMyUbD/dHvs5kOGRLT4eUkNyMGuTlLJH6s9Du1vtADm38mMWg60w7r/a9m+Hu
E6L9PbSzX7WhcxKtMiB4Dh+ohe8LZtLP3bbY+EHXdxsBI90suk0adIa1TCYfoZ4b2Y+B5uKmAnZT
+egkbnmQSFhvxPs3dhU4PyDISz936YxfTh0RVWF0ZiyDoU3zE1xJ28+7YfQ12eT4XFXTYRCxsXFg
bg6Ke/vCVMfAfU0toLcw5gqiOwHmmOVTBEzsmNXmEFDoFy8O0uW/Ujfd6sNcFcZ0YA/IIfNmUPe7
AgKRyERFU2VDYMdqkX5MRWn5iJb9DheTrxnN812OnrffAxjSToPlbIq83lhVgsvFuQGZraWufvmp
rSoZ2rqLRnTnwv4onSnZiyEiy+kj+bixo5dzuTpMFDUXNSpnoSSvSUSDR21BTsaI8VTUln4ZNY7l
R32Sf9KyRd3GSGX4s2SWs99reqzs885Ezn8eBBWmsEkja+N035r80lFgDeAa0e67nHzd0+RGcgQX
vgL7P8cavF03KidPLZrTxtyXsHk9d7Yygp5E1fy5Os32YmRi94kMQlFLiw5J/SnNv+u5a0G2rVP5
zeGDw5dIMBv2B4xLfAs7r42WlXZrwgY6iIQn2I8gin05YRWObVUMHCx9aMHQZZ7XH2o79p4tvbCC
JNJ+1IaO0lRSyeRbmonHWHW/2JEZZ37mtkdPL8xdHaFycEoEuoYb0dONwwDjhWVA3IuzsE5K+wk+
vpWpkoex160nizKxtRPUwx0/t6ZZ9xOr+aKLUI/3JjJFiU99Ppo2Wi+3fgRvJgHOIkBA3ebyEyUY
8XmD0smAV6iRe9tFzrGwRfiopbRiXC/rdyJS/2ucJv8xuh2aqfd3ynWYRTRs0sjkxucmWqcsCCw3
Qs25hpK+pouZyw86Rpy7gmj1QdRiY7Y33jf2AXuBZI/G2tqMvqgxe3DSdAqaIm4fVRHW5C4CaoZv
TtEHVy1qH2H4NqiJ/bbSprUA2fKOo/IAZxETRIqea7hgmKRx2MTlFFAXLY4tegV0VVxsXFKlflFC
BDCNzsJCQwhTuAgkNNWrp7Y4gaRe3+r7CgfDwJjH9hTl/XjQG/tnWc3VzijrrYhjORer0/t/WB4i
nTem/OWmcJWx1XH8AIXH2hx7JDX8LjXNjUvixtZbJIdZfc4njflVXGPUg1ZXcTIFGN3FHxRdB6hR
RhrWArN56MdsQmfNEp+HPmt+5U7S/31/573Zml/NEmk9C0cdKE3r8LdwkEeveXMAj/TyNI9udNDV
WEE4Ak3epgr7VyPysi8RV+rOtYDmuZFS+3GemMdEKs7emRzDnyJL26VZKw8uRdWNw3HjjYYsDpBA
R60RNcXVhd0myOVj+zMF+H/O53Kc5lfpodHjx0bT0IrUw/ZbnmsbieoaW/a2UbmTFl0lIDaUIS+X
vxFd2Q3DNAWj4tU7q28yf4hH+ZHf+Zm9i/ljXZUHpwq9veksfte1OnwRtSWfBuqMIM6dLe2LG+cW
niB27uDpVBB9q7i0HTNlCpN4DmhW0BJWx4EM0FN6pBu6VGYn0Tjt0chpkIyukv11f6PcWgUKKvR1
bDbJFeWNEmnf6OiyBK2qDb8nA1FqxyDebwHi+nXuxc95nnn/yyJQC0MVA8FqKAWr04HOWm7gAzYF
rtOrweRqHPW+Fap6ykpdRUHZ4vXw9ThRcYLLZfyXAoezfMxQ0LMQ/c+a1ifpcr9WmMd/u/9BbtzZ
RE6IaPDjQMXpq9VAMy90EKiYArCsiHakKZR1X4sd+hxzEz1LQ3btxlt560ais0DIBibCoIl9uSVx
dlVLxcJQaG7x0lBkbn+e+7nYqHNeIz+4ooH7L5fz0p5aB/1dwtzKUExBpVOB34eu6x20KSIWV8aq
TR89R+ifSlGb/9lgBv5TEDqLjg1UI/Afva5tOaLcPImAZW1eKoi5qNpcTltaJvrISjMHjZHa8pDU
qm369Yim6q5FdemoZqywiwPkP55ZpB0SD7r6Y3Rk8Wz3TYQkINYmv8bEaaatL3UjtCKOhwhFfsR/
r+tMnTcaShh3cxCOhvm1Ql9CBVZlzYehNIkjLG0qAq/30ClB/+lXZtanGRWux8SLKHn1cBf/npES
8FEBc/wWQYGNlOqtb3F5uUOgQlMGkxdU2olvLr9co8rc08pCDXTqrP1T74XK60D9L3owhUkthx59
9qHkHtX8RPGSV0uW5b9VrljPwsZItumm8Qs+zJ48LBRl/v62gzjfaObZUVAYBSLTh/1GdHK9yS9/
8/LX/6iUoPJv200V85snFF/a3DN2iCB6j/dP7/XKMYpDuEXf9Ub/c2qjBUcaqoEBziINMp7H8eCW
tZF/VOfaSHf3h7tO7HncEQJYkLrAGdGAupwVDD0vjRz2sDI7YCmNrjFqns0Ez5nZzY5d1zwPXTu+
KM5UEQxRUVxw6Mr4mqMrU+EgJtEQv/+bliEvNgcxNDkJNTZofNwqq80hzXxOQ92YA8AgY+UPZZkf
RpAw2JpRVDgrTjU4u8YoM3UPTCTpv2hmXP+8/xuuk5PlR9B+5kFZoGbr4mkjbW5sNBmCqkaP1B9T
PLv8yCiOWWxJSpumMgSKpefkaK7cZYhZPSJs5R6cmBJo2inUR5Qp/0tOSb2PJQrp93/f1Wbk5+GZ
A9EWnUOXLt1q2VL0PcOhU4Occ1v4Rpzmlo/YiyH39we6etuXgd5EyaAfUrFe7Q9XVbI5QVA3qMY8
J9Ao/omk/FtplN/CqvYAm4+2Wh7vj3kN+6KJxbDU1YAPEo+vnjA7zLGThgsdTBow9V3XK/1fVtWE
IEWGUGDQKfvmIzGvUgB6S43UnwvDLvwJ7qW6Mf/rR4ffYvKduUrp+IL1uPzSkxGXNGkmNWjMzhMf
lZgA6knjFf0g0jLyjgV5X7rvbVOGBzBktYXqP/geQsEe3CG6wObf97/OjaUnIiZXoeG39HlW8V9U
9XoNU0QLWqMT59BT+0+pNXlb2flyylankMIT8Te7i622VoHU+raXFXFoMI2j/a/dlcDr41IZ6n2Z
RVaxU+JJJE8q3gbaXpCVh7sZZ4wfcedNni/7iQaHn5Z6jWlHC1Vpi83wxsW5+H2UXanfQK4kC2KT
rNaFGphCFDBkz2mh5dahHrVJedHR2gpNbB1HfMg1fZDTS8n/h6igl2LIdgwdQtFzBbY4O6iOMolD
DrQfEn6Wqc2DiPF8/LsX0ST3RV3k49fESM3xqFujorzmoTuI3+5Uze2zFyaO1fmpnojqH2GktIp8
ZGksq91HeBEVMzS60Sj3UdnidG9PcyZ/2eArog8Cr4s+KLusUDauzeurnBef0hGhMM8qMiirjZHU
ttSFjJJnN5t0IIRI/vxrZrbxXc7pCD5z0IUGotryQDybSmp8m9IJhntjRGmx1zstLl6hxghj46pa
FuJyoZYSG+jJpenFdlpdVTAqw7RJcrzEnHj82Fpd94MuA2dZs5XR+xg7UjWwr8GO8OH+Qbm6uqhv
Ic5CwgS0EqTGaoeoE7WlqNTj5z6Gx/wgxjpyTzkybFiKmSIHyeh1z1CoIoGDPFqqG+txdU4ppALG
5j/0JCBxrp6xfKwInGw7fha5Nwofo9Hhi+5UW9yA68/L7icc5hFf9NPXSHOn4pmRllo+l4iUuzuj
98bmk5oh3frP5MblfyGZyk/cprBjuP95ryIVnmhaAbB7uB1AES7z/yMeWoR99CpBYqWWifvYKJ5y
qrAbPplWpWwERdefcokGqPRDHAUXtlYt8oaxcGmyVM+TsKcHHQfUU4w++P7+hK5HsRat+2UYCl50
gi8npMS5Xom+rZ7VJrfgE0lnXxlNvRH7XqVnsBqXOSCTwbG4qjN1wxx6md5Vz73pVSdUFPvT6Jbm
F2cYvIOuKYTd96d1FU4tNEoKORrobRC9awyR7rlVnxu9eCbW1/EUJUvFwMwAU3mcrMQOPxKIJtXn
CNqhPKBh5Iw/Wq+Jmy0i1fV+AaYCJZY8CSo62NvLzzvMniGQ2KufqexWD6rQp/AIo7rW/N7RNmkC
Nz7z0jlZZDWgF2IEdjmapZcjZdpYPCtsqUPZFM1D6U7ewxAZeuprIE21je1zY34Lt5mKGcVLYDir
7ZNmlTkBdRXPkUxtPHNSgPFe6rTfLEeR/91f0xtblXhkgX+BigEouRqrd6WaTP+PuTNZjhvJ0vWr
lOUe2ZiHa121ABCjFCKpWdrAKImCY4Zjdjz9/aCs6hJDarHVq65FmaXIoAcAh/vx//yDrsuLkVly
iGwrJfRTN0eQ+l8P9LPbSGcYWvrWZf8BXckNAhLhHkmSUjM9soghew40JV+Y40BnoJgX9cSAP72L
WKn+5QcBAPn4uen95PuZmuWlmTmwwy3Wz3hXrmfXp9T89bX9dCiYZ/a2MFJEX+0PHrn14+pIeZmT
wK2iVelWG3dOkAYnMXjz+1+PBmjOV3+0EcJPpIz0N0rfpqS+egEQEpZzTSzSBUNkUo+DSFpGc4MP
bvWcYPsmtjB6fue72nNNn+9zRPS7ag3qvZLA+ooqM/LXYnqxjBAdQtJJp0/2Kt2HWdWRWgovEmlp
nASSrbC25NxHBGJwMDCzgpC0xgitsRQHWZV4gg51kL0ThnouB8t7EYyuwSFf08Km3nJ6i6C8AGkv
z5be9m+6THQ7qt2JlKTp+dQOdHW1pFQXVYxypwvXx9/Kw/FvVeJdpgzZ0Dnrx12aCmJyxjHmT017
c9Q+VH3+wk3q5djqWLTNWTKWYSa9SoRe2ncXiORGGueWX72sLad7hulJ8axYEv1QO51ipdCTEMvM
mzrxyx3farn4hFLv27FQ7ShONC+X9F0Oiv8KG8DlkyGrpIhbFRTP+83JJ2rF3LsvPGT52UsvgXlz
bt2VmxXgmh28cciMyWP4gDyerTv3eq4nYwrLpjTbY6C85lO3zEKEnd6Sn9UQclnsVeUCUYeiMkue
yFpT2XG/7VpekHkba3DOUs2riSWS3mffnvPs6C/T5q4wVNPcicvA1qxeuzpS9yNhK3byDpFf1rvR
mOMs4UT6aAzz0fGK9uu0OFB1fbEIe4+L2dIcBmNzNNOzQmT7FXY/tRtaJE7EvFrdLtFIDogt1c/Z
Hq8xue5Qyi7PNCRC9+bYtYR1NpR709q56V4Ys7lEgzfgkTwPajFjPdf9JnI6aLphgGczmSr63Ov4
Jk+lPA5lL+pnS0C209EZMnOJOSFU9esZteBwoH884V2YlCDhuFW4FAikXujPYXA5xqGs84ossDZv
TWQWvpb274Yy77TXVlLMXwe7s5w3NctRX0U2HbciMhq9D/YiKLzpAOWeynoyS4SlyvJ7CdjGHrsn
uWCqd8ZcNBiRzaP/wbQrPBhgKo1F2LVuS9oQCFixmxwZvGxrqRdR1qmkIn4tyZrQDtK5PLRz0Y5v
bITY64dM9Cp7Kcux+TgRJqSOUmYqj+u2793Qa5y2ukt6r0KWk+UeAhVXdIBptso5ADh4uaRdmBdj
bkZEhZuCE2Fflh+tVtQypDcwWWM4zXQUsDTPx1cYKPn2eSzS8u28lCl0XgRe/W0La88qIVIY5sAw
m3OW1VcKSSyuc8k57QkVuzh967nbG5T4w3lwSEm9rHYDItoPHplEWebO8x7PYVW+SPJEjG80v9G/
UqZ3IhYOpzZeIPLpdr4hVUHYhT51d4uluuFVHwztsLlrlvp8IYJHWiHZQ/YUVpxm1rPX5HobrY0D
8O1Kf3PSIi496JMQR5+pOPnrwkTycbpxWxDF1QJ+HipXe1bg/uXfNfNiCYWAIS29mIJsar7Y0FaC
NyIfWhHL1W3dSBt0pQOljyOefIs3o2AmgvqgCsefvyRG1ZQvtJxBSQgxU7mfZ+LpTTvx2eDRyea0
iHOR529TiNHV3s7taQqJvSddKMFS4Z1QqexCx8vEeEP8sKpDXRXz+AyDuLo4aNTaWswJwVFopkfb
u3MVxmkR7o62F+reYMud4rkNYbB2XX62C68a49Ks2mbbtQoKb6ds0l3p2tN6UHIoq+cJDmRBmOSW
KU9j55jzRWUmDg6jU5HmZOBehdSlzrsEBeWGZGRrq5u3jsukiLKkSkl9tklcO+i6aqsTiDtJZOMK
9BC66Kjf4gkI4uBqAlm3Vur2eEv4kaWjT5/NIAr6oK+eY3hgaS8b3cy6O75Ir72fJ9TrF89IFrGr
meDu0WtLa43BUgYz5lH7Vrh2xfrOSTHea3i8whasFkDfkdfbyok8bM9n3oEkMZ2IKOPeiavKwL+a
ST+PO2/OlX9o1TKUsabLNrtNXEOrWUTzUYU+bPb5IG3kZmHHIXQI66Ff5a0ybNRRxoLtX1jLnrWu
5481R7WZDp5qI3eqZzy7pTyuXQUCPAdt9TZdKGV5qSSTtWi77u2Y50EVN3otnRAmff9RYhb0PvW9
RN95A25IOCMivH/W0pAhoTA1WfOzBaIf9nKtqA5CIcMIOQP1SM6bGo2SVk6uOmEfJyZe7qYhpKFp
Mj0cYGF+0GVn95F0kEse9X5Z7HhmmdRfNklLv6JYGiXCrNyykv0aO8xwqbJy3S3K7Zy7wh9UfuqL
cUCpNE6atdBbVRrOdbbIRxG5wxQUn3J7tPtLqwVkcrFoJTLEXc8f9o7VWM+bDmnEGuaqVm3oL/WI
6eqSrNq+byt7/WTkftHu3SXxPkyN0/QxGWKAvaYuxyWUg53UWFORI3vAJ0KYoSH1GqmKIts27M3F
frnWa13tHb7hqxV1f/+hXQ3MDBBXIWKJWDrKZq+j33mX6WvVsAKta32bDqR8gNIh4onpUvbpAXZY
AXFjzlS7y7kL2xtUpCrUlrYLIkKTaPOraVg+dDBlln3jYXISTY2xEpFZz4H5CqHCWN1NuHq1HRzT
KiuiuslGLU5RR/vPEahb79fZsXGtl556UWH1CUGztKzpLdkmS38e1qkY3w+uEna4pqPWn6BEeXWY
GQvsjs53RL+DxVuUB2yR8ixeW4nGg/bjuJ6Ssl+z96rWvW7f01rNIlyoxvUy29M473W/7/x4ttNA
vXCsNnjj2XndHZPWMPtXCwimG5mtk3THzttCndsmwcYFKqs/3RG6kpf7QvNX7RmbiXyPGzQx9EFT
ZOSGApJ8BkbKRdxzs2lnO3gpHot0lc0LM/dq7wPHP0oEa/CseedOrTZeCLwz60Pqk0cXrT25B7vF
acqCJclq0gsshoo8Cd5O74gOUi+jZkltc48jG6Ug3Y5p3a1UKlt3mZ5W5FetI8J+sez1YLdmWt6Y
1oBz5VSnU38K+k4Z52AVHjFNtQHzXDH16SooWfR7oTu1G+tG0U6HclgpX2Rupm8Xn2lxZvZDqdMF
yNqONLVSPSNVb+r2i4EUNByLRhQvE8vKLkPlGW3kJlPOspFYqiTR0xgbbs4sE2TQW9+NXc8SsVk1
CVfre/XtnOHxus/s1awOtkERtk/HoBnPraS63ZWpkNorcs0sP7b7XmhFiBnFRKFHNEuQrNFsilLd
p0GfB1k4lBqZTNpUNDLKS4mPBhrwRu61rqWl2vmkp0beINM5XoxE097aa5J+SvPBNF9pQnbvjMTA
yz/WHbX0RxfZBinfImvUOZsz432n2fC+khG0Lgx6N1n2FOGtugkqm4CYrq67l4PZBMEpJfyuDinw
+nYHPd+t95ijCpzjLKcM2Lja8a0D7nc28sTNT0jzB/R63JHisJTMfAwE526Oy9qpPhuzXjvxkg+L
fWzGVXujU4B5IVPXWeJxNfw6Wtzc0i7aolfZ3pLNcG6svEz2pa5ZiiAI4dRo7bV6IOGlYxkoV5uY
pdTRl2onWI6DM/YoLat9Uo31yWXeD+FqdAuWN1ZR3Wqmcn0KMMrfy2wZ0opLTnsqdIs5dfj/ZnFh
lg60WFQvAu+cgtTboaaV5iuyAKz8aLdF7YWaYvV51q7KDUK7xaGR14RC+MCTGpMYWGcynjVVYqtn
w9oTDbX4Fu4SiSMX5pm3ZkwZvA9ZifpFVmfX9NrmRMExNFFO9DLJF8kwPxSr6c0HY7VFuk9oqq+h
uwxuty9klVm7Gf9fcce7kE8HOQoaQAUJRz6HsWptntdGupSHanOxCYmoxGkqwo90urMyo8g/JThN
jbHRa7lYoqqV8rZJC/lRidzGI9DNklayEFiD/6yBFpuGgKgaUb+cJfNkj55uOxw2/aoL9nE1ZS8K
PRhpP8/0Rs/K5NB1AAsJkpuAgsraB4sepHFRi7VfQqhjSXdZMquh9oJHku90hfD6ODSkCcLiwJTQ
ih0zW8Vlanop47wavDVyc1iTEf9c9S+2yDTrQAmHAJia0c/OiAyIY3XNgc5t7q32K7uQc31x81ku
OzOnRHmP2F3ait6A5gYPOZ204WJlwkEMPI9lBqFKr1I04PAstaULYVC0I93HKuj9EGOLqfgMM3CV
d9/O6P/xefl/6UNz+9dhvP/Hf/Lfn5tWdSRZDVf/+Y9L9rlr+ubr8J/bx/7r1x5/6B837UP9auge
HobLfXv9m48+yN//5/jx/XD/6D92NdujuhsfOvXyoR/L4dsgfNPtN/+nP/zbw7e/8lq1D3//4/5L
ldVx1mNI9Hn4458/On35+x8AxH9RQf7j+zH++Qsv7is++6oZB/G3V2N5Pz/02U8//HDfD3//Ay3W
n+AlNIsRP2MnuVHD+Mj2E8P7U996RsjewIbZNP/4W910g/j7HxqfgVGMkHHjI4DGb+bB/TYkP/P+
RI1v04Le0mGRsGHL9a+v+eih/fsh/q0eq9sGj7v+739c4TrY48BCIU4pQMpDx9K8gv4E6iteBVT9
KlF4/Samf/YxAmHhTp6Kir+CdLahNvgIdSstF3rFV0M5qnMLHAbUSdEr+7oslRtVY+O+HzlPPcvS
dvprgj6an99f2hXut423uVAhs7HJ1CP6+DE6lkKIcCBWracRO9adHtRa7NnQYH8NVf1sFFQu2NfQ
uIDxvv38O2SfjFU3M3RtPZHDqH1uk0K951g1PtUguepcbBcDuwDagQdbCRX9VWsZTkdmzo2jn5IZ
L/Wc7uppLBcgh6rGDZWjW5mGc5auD7++uh+mx3ZhQKd0DWl7IAB/fHVp27Rtomb7VGnGEDee+Dys
gQtWtfyuRTq3kDlBOcr/zE3R/ngkSElLCylNPy21vt7aa1acC3aYJ3gpP7keDHgACbbMyI2t/HiU
AjBLCKWZp2QAHWp7aZ+QDNeYa62/aV2xmeeimccPBNsrgJXrRFPDm2oitRbrBDidRfXkg89s0OPv
PiAohMieaMT4OIhdM/NLd5rcZXTd02BVfTyN/r0o3cvK+X3364F+mOeEdfHyYm3CWPg4bHf2u3ke
WNNqNV7unXphfMVjKzvaxfJUSMQ3S+jvYF9uGqNwHZunMlzua2EcRq44arW9d8pNJDKzQvZZWbNz
XpxKHGsEXs8s6qdnMnGGV4tEqQmYJI+e1lC12Z27Nym9nrNJr7ddlzkvdL+Ynomk1va53407kfte
PEnrKb3bT+4NXQzkIDAfLBhCV/dmHgiL2ZCqE1YF8ii88aU+tk8Zxv84CNQKejNb24QuxjW9HCS3
omcykOHXku+HNDsJNamPh999zEDuXIKNIeAm7bx64VG+icqxVHICrKjjyWnqKO2H9InGxV8NnscP
GoU8uyK7AXISfIseTyfd7Fsp2iw5lcPiBTE2z55x7CdDfMrbZXibysX+UtvIc/dzAryx62nmu9DF
Ew78ARj3GvWpNOhQ0cijil21LMpJMp34ZzgVUeFwlI4KiuFhh2K+DUL4CImMm75ohr2QfiYumV1V
D+Br7lvEWZUe6W1jOyd3ThBZ0Bmod1bjlh89akEb91D2mnDJSt/dEfs+vq4AOfPQxIqFUleXRFM6
unpoYJvbOLabZbKzh7V19g6uI22ojVikb8fvuTmRSlgk4WBNsjpa85A+W3Po0IfOzJZ3pXCrDwVg
ZBsHvSWOGdydPAIg6D7oQ+fk4dBWARGHYO91WNCcpM6z2/5L7kzUpXUqMISB5GOEfol95R3biRh2
rV1NSegOuUazVo3qMJbmsh5dTvrngWi8Iiz1Qr+xzLkGQBxlr8Ik8IYU0ZoG4ECzA27H3FUgTO6k
ljuwc6fbQYdJHtaysU9+V5UAvV0yy6gikOBFmuOoA9JBxbszVRuADwmsJu1Vdd2r3vJlE2WcmTiY
0lv+uNYeuNhc2MsRoa0vIqevum4Hdtd5cWKt4oiT64LCmAttw94V4g0O2f1XNx3blp0vyO+Q7YCf
NqQTpJGJzdibXBuHIqRZMN1zOvSDOLPzKo/LnnNZAQ3iopGh+sEomyAPC6+fos5JkjfaiuCYRPpe
a0+DmUx7w8gM4HC58MdqvR+nSK5GS0QuUYk3lbm26U2fzUwMs7a9h9oWDvKrOtnYVY7Aoxk1hJcd
XBNzodDTLO0WSNy8y6zJfW3rsrnXG2u66YcqeQ5/V7tve5U4UaF7yw1OKGu9I8s9+exn6WDt/aDN
kwgDIPoOOPaMdUQWKPa6QK9afjY0MQj0fK1/P4NQJsdpWXtSMYk5HaIik5j8q2ThJO51lvlSSCys
Y0MWw6cZUhBHxKJQzq4Bq8dkvUuLKnSCwrD2+eZcABdGlK/NHOgv7o20nY9KI5Vyb5OlHuyZIstb
K6UKi/s5teQu1S3tNVwjWYde1bY3o4LKEvlLFrybes3EEkcVOLcjZxpviY0Qn0Q/kRhojGDOe21O
DPfjbA6iifqJRxYCvnsvx8lepnNZ+OTDmJD4tXjpHfddy5v4puU7ojfTW8zinTEXVVxnPTjxUEC6
wDOgVTIUOey5SDfr9k2R9sCm0rFygTDN1b4kg9mPkbUmzmd8QcbXc7qlvILBTbCAfRTh/HLWfXaD
Wg47ZVajhm6inFegwF5Pdr0vhirMTYPXY26lfijlCKjXDEOyW83ZBTCYZc6hG/2Fvy+aKfjqS2vM
o84zFiu09V68m9MUSLvvXCtSlRfcDQ7Hw1iUuX9TTros9z0UibebuRtwucxGFY8VajPAcVvZERUc
0HalVfaCGxRmT+G0BM68BzO383DSRIfshpwCm3csWzUMDnk/38CVncojTLYiO0h/eyUXNHwvxlba
r9DrVK9apeQX8G+vjIx5XUZGy/2H0SbPp2iL6bPvFyJhqbOTKkIwTUjAvOaX1tH8Kiwx2tZBi4lT
Cb1FNaeJfnkDmtV6RYSKGpvFcVG1EfLKZt1tUGRBEzXpbMJWxIt3Di3OuBKQSHeqEw1erbvVjTEQ
oUPplscDsGwZqppjy3O8nvOX2mTP3kU5EO8iAalCRZXM9BcwJZziUAFoUzEnteSJp7j4hmZWFTpj
e2OLJrWFA5asSx9WI2z0EEf+9L4dlR8nq2AOQMimtE4w/41na9UC2leWf+wk5/5wdqVzB4vBVfFv
7sKkeiIuRa9ickbBZePx7thZKzwt4sJOq5Z7FxyeKnBYe36iGP6homAUjN2YIPhsIGy/OiA5Hct7
0YzeCbBkw4WCuv6o89SOv30xHFQ9k/KRh0cmwOOLyTpmSlbb/ok41HQHgFuFtJufYvT95GKIaSNN
gVQiGAPfKsvv6tO8DgYXpiJqv0yj/1DJYDdysn6i3P7ZKHie4DLgfGMnXD2YpjZEMbZQuOZWiS9O
tfo3epEWT0gSfj4KxyHTxkrSvT4LyVzQLnYK/9QINVw8tinIkWbyxOPf7vujEox60kWnGHBA2Ux+
ro6UMG8Gr8l6/6Q38xQaujQuLch/OCyF+cRt+0aAvRprk7tAwzU2m/prh3q3zlstreyA6uf5mvbP
Bc2dQXphMqgiBAB4W3qfE7Ni90zDCXoH9yWabKtm1VnDXr0SXh9r6q3yX+uqjyr4AJrcV271Wmjv
EpkfvWCuYmktHzvty69n7w+oBVWwidXSN00pIoOrc6lFF8CtO+ZVMNdLNGvouCcPdoI1viGoTz1R
fv/wTDaVGgQbHbIuRJvrd6Vsp74e6y45JVLeG3o572sMC7dAhqds13+YY4zEIQLIAikaTmBXBBvi
9yC+Sj/Z3so+3kphh3bkE8/9J4NwjtsOjixWnCeuppjnNpmJpkg7IZJYopWqJGzlJP8Xo3ybWuiP
gXSvT0Zj7vnSK1V6Tuul/ESjtOG8WJq7X0+En10LpHZQeF5IFNgbQvP9AiOIZGp6L4XGXTJpazSD
J0KintL1/mQGbEdgZtwmIv6GCn4/TKq6sS8IID5rtbDvHJwET5iBLWd/ysz411f0s6Gw99pwEA5j
0B6vrmgox7WmgDmXoz5HOhyGPUSG/AVSsfaJeX3tfUmN7XtMNA7ICGdQ7VxNN3S3WSKMtjwjhLGn
GHM7mC0Ci6oegUI93OLG5T9X5trpca67xLinQ4UFtJdOMG+kHO45dJQA+1aNi6OfFYPcO/QfhtAw
8qILl3KwNIT3qvXeJ55b9REthq5G1DnO3m7wJ/E1sVsqP37EwcNd69IMObdr1mFKgyC25mIST/hx
bZP70Zq3yfSxo9lO65sj+dX2apgrVWBL6uSSGeWhKICCFteROZ7krXcHOE8jtJ9bfQeRoroVLc6f
v36+P87YzUkNojv23cjzv6m4v5uxLgSgroMpc+78vjnXTVXcOgHt91+P8uMCuT1X9nXWRpb3a2oz
aYkQNxu7PI+lnr5oFs1qOJpOeqwZpYW3YPdk3MnPrguLH9icNqaCXNjjeWvXfpMLT1TnlC5cRW9o
ynYZxfDvr174UMLmRCIAcZQsiMfjdHlmDlbm1WenF/bZKyiUFiGf0I5sFcPjWYINDqYlBjcR55Rr
18cukB45U1iQ65zV85Aelva2GtKNDDMu5KWZ411DHtab1TbHpwir1zp+3kp0Y7i0AC0j5Wd1e3yF
hbeSUzrk7dlvlP1ipgExhzp9wCDyaPR5m4Rt+NRmHeV20zvpsrdnhUhlAN+2Ipv8nv0oxvSVufrG
UYgFumRNcEIFn4IAdmVx9357qccTjlKFtgSNC3Q9j7+wpyW97wRdcPJ6l/PeWmrPZ58D56+n9E8m
GJsj+q2tMYNiefv5dy/O0uCRkbhOcpJpYVy6hIYtkFj1xJO/HoWXZSOrUV9gcOeCr1+N4s+Tqqqq
OQ9Vo0XkMyyRqav0iVpyuyPfz6/tlSSfjjm8+RFhZfp4lGoaUnD0tTmXymg/QC2r64hO0QS/YZmg
ynZGpPLM/fB7dxBBJnRrZAgcY2i9XBsS0L5LajjZ9bnX8zx2Biy4W7dunriDxo+3kCUA1jolE8UM
qvbHF1d4DbcWhOHMek4iM4QSdV+PwUZVQ4eUH/QEEubF9zXtTpeyGqN8zKEMKzrgUZ/b5Vs0BPYe
d/jppT1jzP/E0nj9bm9OfKjOCNYCU+KkdbXpDT4ru5vI/gz5LSh2vP/zs2mGLRnjh6KvoA6VC7tS
SvcV6Wj4HP76IVzv75tvNwd+njq9KVp7V3cn5ZxCANo6nuFuaZEQFf7PFsVRYa1PGV5ebwLfhqIq
2jBdJtx13QpdW0Egccdz6Rg16M6woiFSi3jXtAHNaCzwx/2vL+4n9xZLK+QK36SGzLHHj77SoJCs
qTGdhW7jNEJ5tGJw34n1jaGl8kuRw1IOk9TucQYyN2Dr18P/5N5ugkudO+vRZbSvlgjYBq4pem86
575mB7ChwIL0YbDafeHm6q+N/Lda7b9soj9qvv+3Tfn/g612pgrpXFjpfXf3t4b+o2Z7eF8PD/X3
TfbvPvbPNrvu/glfD/cVCgLOGlt/9J9tdt35E04sukwPqAPdPgvgv9rszp8sG4hQWEE2zyB6xd+3
2Vme2R9ZWlClcXb9nS77tYZ/M73Ykrvw2tt82LAnejxb8UAKzEZf82PmTIkep5XjXtqiMrsoKL3k
kjj2UG35vDiC1HlpPzMy4X5I+9W2jnOazNDL+/o5ux0xSLVF7hWc/HZXGN3oxbPbSzgmqBHvvrvJ
t3/tEd/3z693Dr7zX5sG4ACv2bV3ypxprjGIqjg6aV2FfaLyZ0Mnki2zY9i3kKnOeAw8Ffp8Lczc
7hTgCrQIiEObSu9qV+Q0KW3UiPkx0SfY5qu9Hml01wd8vuANVcODLXr9bikn4qIEPpILXf5oMVIj
cpanfM+u15jtu7CNwVrYKlvarI+fGg1FivZZFccyCeZIwN0gdiw1zr01u1ERiBxFbDLsaWDI06/v
/fV6ysjMS8pC+kKUZs7V8pLri2HR7iuOrT+1cNz7Lkw5z5xb6OYHfe6K978e78dnvck/uePQSjA4
uPac1JqFtpuaqmOm6zT7AdLD1lidl4pw6beZO3AqWwr7iQn24+1FDKkDPphMLgcjh8e3l2ZGN3lE
/hwdfMHbSNoCwYIomyMizvxEg2i+rTdcvQjcw68vl8fI3/6+LHJ5o/8ySOE+b+qwx2PrjXT7XLjt
0W/84s0EJ0+LB3RbS2wwq9HlaNpo7YYlXwGGk/QOt4+LxDLly6qs6bXTml1wwLLkvWk5YtlVhVei
YhiRKYRbteGFMki7y1hXy9fcaf1PG6aWH6DYo8NohsUE2ConxMaue5FJ09xpkqTPsJCmvg+k9A7z
iOGtn5Zh0pluGZfO2p5EaVjTUSMlKIjmfC6/BqS7xFlR1/0Z7Y5+qzosX/BdWMQQTtlgjPEqTHbj
mW6eh+UrrjqRTJCe5noJ9ZmGHU1OgUtMF89tpt5sTvem8NIazlydZwe/8noRO9iINdHgTgnguEDS
7uZZfWh5YQ6VaHLorxDiLtXqjmmkXKNtI6sflkOWmlMQdnkfvPenTn2SXo0pnV+yH2dEMZj03fJi
3heZXX8wq3y+H72EEhs5UYHmwFHzx0Lv1Uu2D7qoYrAbyMN9LefQQ0F0LjMp0LUAxSAY6e8MzY8M
MnuLKECrecHRGZ8H8n4Qa8g+E00sNzPQaO4152MuSu+wQKiUO7QH0Op0oZsfCKBKP9trZdbHzrRE
eipz03kNWECTAw6r8MPByOpzXWjzEq+IUiTrIAGMgJXNEHZrTq9pCfwlFFNZDlGayDquE8PZF0ZS
IAqocrMm5KMEvYQrbyaxO4kRHz+aJgjxFUWyIvADdZCZdGXkwfu7uHQ48zAHpIEFyrL/2s1UlYQ2
r8zHhvZhHdFICdojZ9fGiYHyB1rPdHKKqGlMDPCtsaBll8M773YZh3cj9vLAhqXuTWivSsc+V86E
mAkJf/UCtRj6LquTdfvXAeS3ipf/tiR5VLj8ssT5v1i8bHsCC/R3a8+PtctDnRZjOT6qXv7rc/8q
XiyKF1owHM9MY/PP+HfxYvzJP9EEgOWDX9hWwv+reDH/3II5IRXSvuEgDIjw7+LF+dNBPbl5YKI2
31Z263eql+taF5CFI1aA5zdfAm7W1WbkQR8YNAQ9aMqG6WYdlRW3Wi6/uEX56bt785OS41tn4/tl
eaMwYdCC3Js1Hsre1e7fGcmIiEauB2uuu3fDUKzODg8/JIp1SnZDywp3Y2M80UYj5kzvF+bzFFVb
6GSUWGzQW0YdOjY9y6S3r1eicMNVJrTxZtoTnwkR6tVxIVvurHpsSsJkcVXDXy1oi9r+dG8h5Xsq
+oYm19VeQ9AAjanNgBACFUzqqzLC9ep27FlaDh4g4401dcY7NfTee0zobG2XwzGgmhjLeg1VBXs+
9OpNamJAAfhgjfYoQ+ljVQG/wcWTglZd40XaAm5DRWKhBcVyxopSc0kuRQa9JapSa/O0W1PWtolf
Vyeyx9XL2kdfgPmNPeM+MiF5QugtZLIfPL95aKZUqrD3Ox89ZLKwMOvOXJBd5Sz2h8YY8iocUxu6
g9P3gG3SKV5KVjdtD0ndKPY9u4YfolI1v/DIfDvWUm/4qiYzf5tX6bzuLTlqfpg3Ljfd84rqOXQf
z9olymZ9lc4MkdH0tMmP7MWhgSwSW5z9tffYRorqyziY/h0dgEoeYfYHTShHOa4RrtFE7CRlKeZ4
MCqitqa2nvKoMfxqjjqYkbcmHA+2LdXZ+NtVs3mfrNjIh9mEwPI2EdVohyZysxWz0kbdUDFkn4uq
dvwQl75CxmrWlyxUZbJ+JhM++JC1bTnEvZMbd+PalXdePac6BIvcB0XROWbGpTdji991Qw+skNRv
lNm27U4YfqeTnoVta5jwALzImMyuDhetg8M28x0FIekCFv9aMinCNWhwS9JUsFSHDL6QCDHug22u
p7KlHJL2bTPJRoT6bC1+JKyqdA6DswwJNP3JeODhInqYkmnaE61roqPJ09W+Z/IvN+geEy2qvRqi
gC+K7GbwVfPMm6y2eD5qdQFnYOnm8osj1XSLeWJzPzaeGvacsbDqE8Vq3xSrUgdZms5wymWOjB5z
y27+2GbZUn8K5GoqQq3cZHxZtSW8kmy1xFczSRCfGlO/2Hd4AbXVjbJWVLKtP8Mw8NBUvNUxaSq+
lFPv2HClejbst1AkvCrM3A5RMcXHoPt3sjI69zhAEnw1S2ewI7P0yHrz9LW2d0FS/n/2zmtHciNN
27ey2HMK9OaUZDpWV7WrtidEO9GTQRskr/5/WCP925lZW4k+X2GAGWjUioxgmM+8BjVLFPzjj1Zj
eR+nruR+6HFKgUsmUsD8+2qw+VucGX16PVYjKOfSSew66NPEnnhLO0UPY7U15fvM0KZkD5FIhxA5
IH+c+nFW1ZFnFSDM+iGrXuOZDihIdcfkR23HFudlsiCXKFOZvHNFs3Ch9NLbb6LYb8Y55Zw/3Zf/
97b+9z8Z/gZ8/99R+Iemw1bvW9mcva7/KSlsf/JfCL7xF91Uj4uZdhqNCh7Rf2oDgPMZCBNXOm7w
zLc/88/zyruLsznZEGBXAJfUAv7/66r+hUQObiH8hfYclSfKjn+AwP9Ph+R/Hr2tNEF1gCozjdKN
D2Btydlv5ebJLYuptzMdxUtiuCCnXfUjQ26k2eiGxo+VH/4F/sa+dJoFHFyhizhMlMWJZLtKx5ed
wCCKvaoXgfSmKvMFpSsvEPDGXo11WojATAZ6CxssiEhSXaQvwM5heCJWs/dJC6ydvfT1Z0dJ62/q
UOlvBJzKxC9tqcanrOyFGmRlrSfBVFT9Zx2Z38GfgVgmoT2b5ns5ae0v2Xnju3pJBIzcOkVPls5i
A6pkJUzezD61NxYIp/mwLEpNllSX8wfHaPM7SGGwmlKqr6/mVqB9NXlDj74CIhR7mg0ZnD/DFD/G
oXGJcpc6a49QwLAN9bqp/qZ59BV9dXaM7wgvKN9L2dV5UBOovFkxXcx96Yx6HmRJBwayKHPxuu6Q
+fZtMTTGjtYLd6bVSu8+m1oLyEi74JLn9utbMtdG+G3jVFboLmDodp4cuOvmHq6qP6TGtARybg2B
fOWqWj5MBqcNu9U7qrLJTWw1oOoHGfdUAVzfrgDPUcY4eR1Sk0GtZvWb2aZO6bXuQN1favkS9CMN
GGRYB3xLW9CpY1DMndiTWmkzwt568XalTfOzgak/hhnhBg4eKbRMkmuSElQU7Icum+q3iGmBnEtR
e6p3y2JpHwuKsw+uFHD7B5EsmHLOIAL8tMclAf3C2Y4yy+4l3jcLijqZTLMpMPtxuUtKSj2DumYi
WLwxPsGEz2DLOplo9vni4GvaxOZ2fwMdZRcMRo8ptQ5UKoep5gDd7tGPagpMpFDOcrE3lylIWh5o
aE6dQJZjryCnc0Q8MQ5QGDOXwIMNyEcrCfTYmIOGbEE7iY8wn0zdxyq+vS87iuZ7uI/m6ylPtLee
0sGnL2Rt/0B0OsxzzUC+Bk/Q1teT2pkDan+qF3pa5nyeJIoTIfYj+jHNKQrsew3D0A0Gl3+vawUZ
iKFa38dxbRPCICzwZxX5p5NucJvAqAASh8bZRRmwN9slh+0znoo1z/0SzQB4vrxNtVvfUtg5r+g8
DQXJARU1qBRb+LkVX367VPB3Vd3FWqYTzuILAs+r+yCtoUIINiZPr2K5207/jbrKlgmc32QYKlFp
dTRo3mRGW9Xlt0HTnhaA4+X6CRfCdIcWjdhZhX3LZEI7L95scwMWhzoIzW20YbB9OR8GvQM4v1qp
n1LuoD0UHOdoOyikNI4sHwZ6OuFkrii9lJaxBy+A5EMhsXd2AcNOslgPNuCtG+2Ii1bUP7+J5qRB
IoZN6iVmy5gNb4vX9JM6GfGuS4Ewr9D7KOeU8iFRxRAYEvzBQrIfmtmg7NHBHQMYuMuhVFz0SgBH
7gwD74rfXsRnUqpnPokNYg0hKaAeKDJeJB9mI9Cz673lpHQonowjAhyF3t9SGDxPEZ9mv9XWYSaB
jdkyt/Mvkrk6j5jWrCe0fGuEJ+2/rb7VqU1rVfh/Ic+wbLTDf0MevtD/HvI8bAzB/7r/VnLHPxf1
8If/jXq8vwCJUgDgw1NCcPhk/0Y95l9oRQE40GmZQj/keP0T9eh/IYVIX31rfG80HzbTv7RD/S/i
EzSlKUWAF6Jl80clhavjQrRFAZbCNlQfi0NzcT15eYlqjyGbiCde3tmd1h1aFDTv5u0Y9FqtBbMc
oVKbLSjINVvuKrmaoeZUla/rSnGcq+LvxDanH78t5jOnZTsNv19gWxDInbL1e+h9XF1gStlOG8W+
jERR4oiJDgKwc1otBkKuhAhOstec1AlFn8idhKy0e3n4iz4RK2tYlHrAysJ8oFZwKd5XkblxfY1r
hEIKWieZzMM1xzjL9goURVFl2md5P51GYDYILmVDHFh5ku/GOW4htsv6jjfFQUKmlDsUo0FfG1p3
UrK6Oq1WdgtacHnon34s4fPWYYZS511cLSX97QwI6Rp1uTB8kSlzkAoPcQClvuXQfKEs+5+FoaUE
5dUDgwdV9fyCGcDFyHJJ1yiJ7XTXFpm9j+Osf1/2iIIkAKz8DNGhB601Gyj6Sf7Iv0JC1S5vMQgv
39Vt0igdwx+ky71xdM9/SDbMPdrazhIhqvBRgY4TWPYkDnVbKEHhxtqdYUvvRrP5esyNOMvdCk5P
5b27mLyX1Qh8oYcVQWct3qCSUYcuVeoANHz91oBT8iVRnfiG9uL112VQ4CmIOwKtuGIWenXeNhZF
/MjY6mdZuzRHjNzoPY7qenx521++UUDDTWpQSDTTcgRwcxE2AE+BopL1U+QoY3WEqTvuUQOLb6zi
Bblw20PbACo1Rmxir+W7xYwIAp0uLZr0GG0lN9VOakf4iYlPElZeubwaCK3vIPJqB3uZs3D7st+G
RgWvCCb8Uw/962CNRKnTJPqTWyZ1qLpo+7mTnu7LMaUlsZZp/Onl1XnmQ4AQ2vJXOFUkndv//1tQ
5dQpyj5IP0YFoPAwVwisky5zArTtzBtL9MyHYIcBVuSTo390hdKsqhU5mkyLDESJecbLitaLcYsI
fj0KiS5ptfs0J3r25xOydAE9KjHUaAIatesSDSy4WMbw5WV7dpQNQw8IE/TNJWM6BZIhisRVAe7h
j7W01uobA/4fN0a5PpssFW8oIE/gXODEzyezrKupxdOsRvbmqhygXbR+r6YsZ2sJ5XVqm2IMsilp
lOOkJa21S0Zb7lqS5XvHa5o7tFkwZrAH1fxFI2+m7FurcgiVNRuipKmohNVJxRbr+6Rp/WGkguzj
bCQAIE/4LfXTsBh+VxnI6dlGPX4eZ1Mdd4aXDpGg7Owek8IaRYgHXEM3Tp1xCtYWnXZZTs9y3tXl
8kEIoyeFhlNnBd4q03Ffd2sicbBZktOULRl0mg4Jsl1r9nQCFbsv9xbWoh8gE5p0PftUtAHaal55
Y22fW1pqMOA8ddRYocOcL20+612Hhd4SrbH2w8jF+KiP3nSXa0ILRinRjMmsWxna9u88DwCcDc0K
Zk7XDQ71xVWbUEgqB0iSkRMr9X6TwQo1Ubiwk5aUysyUnl7eP8/McaP1I/XKlURCs+3i3w93l8Sb
cMMSIeEl/UrI5W1aIfMq8T1ByIn0lW5JEbw86DNHY3NU1QBrAaPldJwPago9c1CYXCK1Zykheum+
M7nJjQN4fW8R3sH5oKTlwmS6nFoGIn/qIYxGQwNHG+5n/Jghqxs0aNu9f3lC16sIZgFCFKT+J/jZ
xSpapuKNDX7B0Sy8BEacU+7LNpWBdKziPkeV8Y4wWbmBPrye36aYwQx5U+jqXMZq3oL4mTMbXdQ7
7XIEbkh1ZbLGgybcPwJKbA8X8AjQdYwFTJfi3fn3GhIn1fOxayOdLg94iKRSbF/pJqX16zJu0BkT
3YTXIE25DK0jPb9Fe7o+FTCF6CPi3wNIkTbg+Q9ottrbqI5tlGWIfjWZMgWe5Q27XtGcfZV58Y0N
+tx4gFY94D88QhjGnI+XuKaCTYXdRV2tVMce9dnjoAFcrcZqCqZRtW9Qoa4PBPkO4Q6eA6hDkASc
j2cvwkIvz6yiVHrVqYfVvEuU6fHlTXo9KQbh8zmaTvCB9NL5ILKoKrOt1yqKnaWH+9Bqr9HSdMKF
6OjEFrjlQ3q9P9GQ2YowrCOQs6e25G9Xi1KOmTq5ShXpw0zJr0TWD7hSEtYIJu5entpzQ4EdghRD
8g+daDufvw1VGN2sSpRJotG2fhlrpx8TbA7CRAy3KkzPJAJEpNTdEVQHVou66flQ3qI3yGZlbSRp
zn930K03AkOpBSpkZTLt4mauAahXTW74eqNTWBnZQt/JI4uvEFCqW+//9c3D/uRIbmeURb7MgdY4
M0VuWSIywPEdBwciDUjvHuUnA/W0XGRfa/rq4cvL/dwibGkXp4PSi31FSkusRlVXJh1JvCaPqVxA
nDRifSgXO/vkzWVzaIgDXtWU0MJStsMp6er+boL2un/5lzyzpwl56FnwHxqwlxfDNEsSahwDIlEq
1YHktaRZrX2MZ+U0r7O4MdqT7Pn560ySACN2+/D6ZnJ+/vHtTJrCIJSJSNLlR9uQPI0C4sbPhIiq
8SulBgBVU+h+a8DY/Wihi4OkIYH5jQ/wzLRNWJPcGOzF68zXpZ3viTKTkTSc0Ze6Je5ozdLVSMf8
3rHF33+8ymA88AMAEMl/X6Ii5GIOeQLpIkqxuNwj6bXp0QpavmVNKXmskjcvj7fdRBfL/PRgE59z
BUMROV9ms86QaYJWE1FswL7RsBYsPZP+xvv5zNEB4QkqngB6OzoXJ5meQWPoM1nfnNNnTZErO02O
8wh2i8pxchdr462I5Ln9Q5CweUZtJRYukvOJ5aab6ZlSTBEYNvoAEsT/bBhIQ6/LFJprYR+G2MHR
vu/7e2T5vEMfF7eEjq72DhtncyLiVSP+QlD//DfQ+snReWbaouyau3xcN7pUqfkIveqHrnW+/OG3
ZDhKebjg6JgfQSg/Hy5Z3GyoU2WKkkW6R4BmVVAXqbhxIK52zHYasH6lGo8lKfHs+SiVjgGloixT
5BZIF0Ddm9ApRO345blc7ZinUTCb2GyOtkjvfBTYSbjUuWD+NSMxDzJH+xDl9PoQO23+ujXbj+j+
3dL2ub5rgSPT5qVKyWu6hSTng+apMrZV0cloMFRQuBYWpXSL9bfalE6IzyKLcNiYXWTLM31Oz+te
d4lUf8Fwps/68vyf2TrYasM6QNAEaPSlaM5gKjLTjVpGdVx7/tI27gnQTOs3KIqe2kzcom0/s97U
m4AhMyJR/KVdewPgJh06tiq2Kfq3llrJQzuPIxpkOtShrEFbeKNgvjzJq1gCUhTvO0vOMtpk7+fr
PY5YdVHQnok1czsEkrucbH1+X6Wi2//5SFyp1LYoqlB8Ms5HUlFIpGXZqZEGBzpYJVkw+hzljtbw
H8LaCeGZFcA+WldsBiDWFy9XnhjjsmglZYKlg+dupKj7gCzR9ynFxsOE1OQjMgn6XYzG277D/chX
ED9+Q+m2pS/cacc/mTrMNjAPtCGZuAlhmtLi+dQzTZqDkaZp1CWOFhJEONso+k4I+5Zr3vn3/Hco
rl3KtrRUL5HWw+pWwA+SNALi4ByUzWihjdNv1ZBlh5cndXG9/zMUIe/2otjXnHa0QnPTa+BO9wrS
Hlm/pp9UI8UFGvRFYOYoBM/tMkaxXI84uixHPE66P3o6//0JdEApa5nUhy/KwxV9XRrtLCzwCPdI
cqMeBl7tG2fk/Lp9GoWQy3si3XKlXyJGTOyXB5zPk2h0lF9eq+e7Qo9vcbYvejTXo1xc6rU+I1aQ
wKun+758WYBmHpa1N/dLTgKB6fx0zDU7ubMTw9632WAErWYXEUKSn22pvHdTvYwQ2pJ/9NT851dR
f99YdSRr1obZ+T3XQHWnQuauSaNcYHbgQKH00UvtblS/z6++f0bZTgYevRCALiPNxBrqqU27NNJI
1vbN1IxhK95Z7YNZCRNBX/uWwCOEot+DrqcRaZ7SVqBcghgLsp5n86IZNw61pWZRNpnlbhV5Hxoa
fjVU61Bsb7Xx0KWV5muzpYUgSQAowIV/m6CEf496DeKCSdbsUmb0oSyU5LBKBwF2oU1hZuOPoSD+
HNhjnwe8LwWo/w4okLeoAbJ+5lc7m4sb5PPnDiNiDBrWs7BACXUuAo9uTuC/ewjcLplcd3JV3WB0
SxFOpVftRzXXjpBf0TpuEvN+QgcpXGks3LAefm5NQQuSLMLwguhxcesmtdL2GhyBjfy6uYO4rr/Y
SerD8Ej+fCgsa9Dr2XheVNYuPl+Lks4AlDePgAjgOmDNPwyEGXeiy9wbh/+ZSZFmbyVDdgvh+cXC
tqk2ynFx0BXwxvahELX6NZtB2FTecEv08emF/59M4GlTblb25FsG1wyFs/NNOQ/cs0uT5xDEiTT8
2UY384dZqfF3uGgdlqYpMCg1cwEI9ZYA12Wiv4yZQaZNWgCevAbbwk4oUfMyE8c3ZD/yQ8klP2To
kL/CM6Wtg1gB+b7X9US8ngCag67qW4C9MqFh46PMlm62iJgGktiVr3uEqSvfBPuFJBX+dA9rvH6O
y7Ts8dJxEeLLukZ+Ud0KWFivr+SDuHXgdrAI28/qFGpP1g7YKhR4gYeo9h/icZihtwnb3ON9EO/c
EQUkN1Wn0yTU9sNadsYDHkTmB7fte0DlvWciuNopGcCrrFq/xLaXoOzeq81nUMvdx653CqTXtLin
T9kbq7FbZp4LxBoHWGM5xAu6afmaoj+felL46EZOr7zJoJSOGVg3HOcMi+59MiWTTqi+Gp90OzeH
QDdy68ZjdR5Pbl/3qf4LOZjmGw2fbaf9VrZZjM10LZF1pEwOJpVVv4R9B/wKUeuHbKyMP964vHdA
UKhYbBX2y7Iz+NslyQutivq6QW8kL9xdnNsl7er5lrLB9QPJUKgkgzLbCkWXEhEIX8RtJ+wqmmBj
7jurTA4Yvf+8EW9cn0SDMudGikBDBYjLRQbbmQ3uqwriXEvlZjtNY/0kJcqd3SxhqeWvMVMJZYGu
eFM1WjipqI03+LzE+IsgCF5ARqdr2MY3WgrWdtWcH1rOK4x/TBbIXa6uosEslnZWihpp8RayKdiw
IYTEUb+L56xagiQlTXyAPOpmYdIZIw6Xc+G9mptRmfeEr1nm50ptfu7GNSkPtlUjQET9q9ORZxdK
utcs+a72YN376YyooE/JDVYTqAwuiMZ1hMlhMo3FF4Mcaj/HSuKgm9MUqc2Q4C+iIH8Y1qoap4+Y
FpT3pj4nO68YVOF79XZ5ANNvfsbLOMT7lCZMd6ibSbnHVaXWfcwGrUCvqqL1Ha3vHk1zwuF8ducc
FQMXUlvSQ4dDiS/GB2w16aj5Kpqfn2FwQTnjkHfTIU2U6lbb6Mko/nzNaZoiAUuNHi0PwKHnR0l0
koDU7rpontx2nyJ7sO9qW4Hx1gx3GJMoOyO2KQs2KC8Oq528UicxHuKlVaKSfwQVpiIW+NGow44a
qv4wF/0QdKk13ZOl5DuhYu9UeWOJTkHqfUC+8tZVr19fBptOALuF1heP2KXohaYXS2nkUx/NSH28
sQiX32X8dfJKM7bewJBMd5sAnv0OOW3Caa+2WyIIJUFdsBiKPVmyLvc5YEMgrPSM7RBV/qkNB2Eu
u7VUdZDAprlTps7h27kDPANtLOpfqLmlxie77RedK64DdaOlOjyXaSJpuHEBXQd1VELIxcBzk81f
nVcPez5vcHvK1Ebc7JKlWGAZQ/4YZQUlYsKbWWCXdCNevRJZIfeju7TxfzZOlnlZtcig29X4dtUR
Tmj6q3yal4OMKzdMCw0dM+4LUM1rEq6NAh9wtsKpK2AL9G25g5SdnHCPcSA9wv9WVOg+XaqhPIgM
6q1++QX2aHsNqOICfNpUdZ60Qs63MALG+IjH3GYYbIgadlDZQStSlx0WnzZd48HYmWVX77W5Mo8r
lVEijpXul9Es+8zrkV4kcd5bMTpVZWOv+wmnwEPOYT7a0ixurOpzn5JlRRyPQiyd94twy6V4NnsD
CrZdvqrBIFWbx9ad9k0t3J2OQGeIbrl2o/70pJhxfspZIoQEKBpsh+Qy97DJGitUcauomxdx4HMo
T1XDozsZysFcLfdUmJ0IcgkBxYTof0CVCG1OV+lQ0xVDt9eTSXtlJxpW6FyMoSub4nDjUdpumovf
aNL1QTuM658eyEXI1nSqVsLrERHs+P6I/GcXkKhmMIOqNWgsswtxIaqnCgub7HNhmzcqC9fXCAE3
JSOqmzRErqLTBFXnvnVTEcFe7/aahvuhLDrnboEHAEh+vdUqfHrKL+dLSYV0H24iaI+LnYB8tDmr
Nr1JU09w1sL2x4gDKTSZYLLt2h9MPQZoi+Fj/FprXO9j3gv3zWDK5o1SUsj3DSGn+6Yf129Jumrf
NK2IcS5jz73V6lz9QZEKnxHL6YfFNzpX+bi1XG4V9q5UDzh7ILxo51BrdGgOXny0qu+LYh3NOjK0
3DyYrRCQqrBNRxz5dVtr4kgk57zNKu8VImY/mIaDrm9S2js0S//QdHe7B85+y0WCbVVVvw4xYgOj
Idk7JcR0TFO8EAqmewCodKuqex1FMR6QLIQ20CS8ShQXodCQVZm7hRn8vuZJj3QVf7gubYYbLYcn
W+LLzUKKTRWVChFIuotnGicMNY9jjbGqwtitTdu8WkChBr0yyGAW+fSAVeKIrAMVN6WXK38PMwy8
VswwMWL5YLRrua+kHICG5OUOFyNeafp0jY+Ib0RgYd0Tp5RHp8TgauU9OKKBZe6GxbFgUNquqCC2
zOW+1t0+LFTlp2qX1Wmq1/Qj9u8QdVCcCMvR+IKKeby3+V+YxLnTjWW4jo7RJQLUh6sER58+yPlN
r9DlbrUYYTMBcdNXhp6lGDJv//JN9Mx3hTeFvCjbme156YwxKAZsj9aro7UvvEO7tmKHcjWraTrt
jUvvuaEQcdi+LGE4Qe/5hHhfVkUijxwZSa8cERFdd4y0RmM8iBtvwDP3G1Yc1HE3GCr4z4uTqi71
OqX4SUXmiNWlZSvIzGd4eBaYeIZugYT6n68i8GhK4WD/ENK6KFJ3KCf2a9ch0SY3KLRdzeGcEFeN
a9HfeFNp1ly/HXBcETSiWWRvqjfn60g93ME6cZDbOhaur2pZZdPYWKWGfJReZ343eMvBLFKv3KSq
q36HbqP9AOYNZBuPjHcSk2d3D0aqCNWn3h1bJyTzqlclyvjGrpH2/Bg7oiIJqtRlPek9V+4O213h
3Q9ghY6yc6z3kxx604ctOf+tmGZ8Vy95l73P+tz9ueBSXftQagWGUjgdV8vQvEdiEIF2YHLzdz3X
zF/jYloy7CwvJvfXMbIErtt9yBsEIw94VJbvKbkDoKsKYdBDJsRVZstT+YKO8qnjbR2Coa9RPC9U
DREFPO+D7VF5VM2SAsei26iYNjXOUrwRzrKTpt1/Xzs3z/cE8Wp1qPXMHPeNkXRHry/V3N/QQ6hZ
W63eE/sjU31E4bLHGNNKC/jpWj2+ayxtfIyTxEeNPA7dIVn36Up04DeKSuGitF1S5HpwJagGsq7X
Q75CK9MV+87IByfzMT9O7M03DPbqTHCbg0m15bCDa50l2BDil+FrAhNXsF8FjOU5gytPPVE/OvZq
SF/aLSLstAyGuwmhTWTg4dV97NC1QB3ecJfvWpmr8IYMPdvjZO24QZk0zasUGt/qm0YbbzlXPj8q
TZygm98OyWPnVh3AzkmW/amguvIBMtnyTcGp4QBoA2MP9F5ovTY4C2Mg31nNuzzvBnDc2HGi9RE3
RhHwpOuZ36z18CDVRPkp8Qd16fjX8tNYmiiHJ038uEyJ/bWKUUchPcSZOPDi8bXdpaRIipK6HRzj
GIipPk4GsvAkhp5vaKgZPmhESGNQd5uUoFnp7c5WzEzdVU6hYDIdq3fNMk+nTHgrlPcmyZODSxb0
fqJAw79IznYTJMPGtM7Gxp6Csu1QL1bkiMlLvUrT3evdpqttC92DJFw1I7r68JWyFPEynzxJ/TrS
9mcHDNnMp+pFn4GbyaAK8cJUDqJiVmH58LiG0R9BQv2CmG18wKTCynwVFAQF4lyTmu/kjVrtkljM
caC0tf7JbaT3i7Z+rIc27DgrMHo3tsNViw3KAcni5cclVlok39c+SjJAldALqeeF86ijfyAUS723
pZv4SFYt77Keyk3USqeKA7e1xRf6Jz39oqLNFOTSKbL6C/W4b2YGQhVWoPIA+U6niDQKQfFhxHIV
U93JDJzMVNojUNhZhxJZqD/pWANlcJbMlH5SOMObRCCrdhiVNeUXLjWeFkltDEgDGIjFq2OSfOxk
W4aj3ibDQQX69jk3aNEH9aINNHzW2e6+OSWXViBQmUeiUm/1aieoqlm7olqHAAOoHPdYEuGdbjft
HPQQJBvfqtUK+YOpdB7HcfWsUMF+kqe3Q9Z01up+8keDRHZnawmGeHhByvu1anHqK/REgeMFYVyH
qE/4iB+r1WB1AfLH7w27KIg8zfU95ukY3E82O9uV+khVFD5wZLn4aFtDI356miz38KdmFDVxd8CS
2F3iT5OVo/7viiX/WGpieTdjUx4YOHnczZJA3s+ryUt8jOaRXEXOSBphDtbyXZ04bJ7SVttwitvi
ba3FlEwnXFjfLkvHXkz0pqmPnhOvbzZWPFhiLjn+ASv7qsnaepep6XpndWtFQ7sFc8j1UNszxqF4
a9xrmFW/QeAVGfdF5+ry+mH61mDf1PMlNepsqT17O1TxDdP31LQvDyqukgayN1n5akmtVT8qfLnE
p1LY12Fl4eDhF1QTvJOtFuLBy2enhweKrUjYQaf/pih4uYSzkgEwrgusf0KHLPVx1nhroPZ5RBeI
7qWUesSQo1RmkL/K/ShW/Wdil24wxzrb0V0XZCHxOLDH3csv9JO44UVQyW+16C8QhG96yuevpjZo
XmebS0sAK3Q0B8sc9aDExfbZyk+tgteALR0ORDIbe62O2c/rWuzsadSCyXJxlc6mO6MylqNpKfbP
l3/ccxGvTYWSjjlpvfskcfd7jdeKLaAZFKcjaL6bGwXApdcx5omVr0nDiqxVLQ/wFIsHsBUjGVoF
cC6d8VIdV0DJta3fI2Cp/GgRZMdujPenmozmvtLEyFvWUiye4kocxi5hdefaftcU1QxonUVvdpIi
8Ic0SWBkQ5J2v9WKoJeVtuAmgFvYrzq7cX+aGCY/rrrVpocx7rKvYzuvr+sSt2J/7Ef25csL8kz8
tiGF+UpwTSAqXqSLpdq6i8SllXNtjfC7J1zNDBuTo+5VlbfWjcB0iwYvt4ZJcX2j4sJruWRfFqOT
Y73tor7srIiSAi8JxVLsiIWxOFvvAF+8eXl62167GpCwG+g6quvQ9c73Inlqir1vISLk3dV73Rjr
MNf6AecRuwpXKOo7DVhotKDSQtAw2Ddqz88EkIBzNug8waMB8uh8eGWyE+TeS8F8ZR+SRmFPHiPO
8/Iknwn3QWvAoqbMTWR26ezX1sasjgrqWwjdTIHSL+ZuranFuGo+39gu23pdrudmF0dOjPsWSnzn
E+pHM6H5y1D1Gku/QYpu78IC8I0F0C6dBwwHIEYhmzLd+JDP7Rx3u1I2uXRIfxf7FKRwjICNIiLo
1NrBS9Il6tdJ3Q0SO6NZWb0Hod4sAj9XA8SDDcleZCpNxK0usg0PRZS6mPI2qus6jppew4+48OTr
SbWn/TiW2r6Ro3ePyfgaDLgHH00FKC5kxfou7pou8z2ZFv5Q95ACE8cOJ2EP4cI7tVNiYJt/vA2Q
LKSVBC5+g95epLE2OCudCKmNUhoem6+btUMIUt9z3U83utnPNELpDvMVqESAHgSDeb4PTBHbc2or
PRmHns/oGbVODpokHb64U669W2x01kL4WWUc6MlMCNBy4DWUYBqBwgZu73fWgAvtmlrOaZW2Emhm
232Pm37+O85G58sIe/o1ZZKPaErMOJdLrguRWc5nSc+CzMmpwaR3rjMoPgVPDW2OubfvEoXOjpws
4aci1yJdJNoP6jUaPPPFzTFeHpfsszJJ95cy4fJAmoxTODk/FcDB0am6Dwp1pNmFkg5sIw+npBb4
GHlpcjdh0fYOAgcahDZaFC1d3jj+lSUYl/va0mSAyaWSZK9I7+r9ZJIYoDIyVXejZrejz/tQv9IT
z3y/YnuLrNGciZ2TsXY+xPBW2yOTE5+6bCFkTOOlUQ9u0VoI86fp2w4b6jd9ojnvVWUgcHHo62Zh
U+OKcOO2euYtoGZocVdREKKBd7GB5hGFPg19xmhM43v4R/Xn0XR/GRTWTuaMdt6fblebrBrPyQ3/
v+EizreQm4sc5winj6a5Y4BstqCKpPl+1vvlxgX5TCK/YS+ACbj0TwAMX2zXNjHrebKSIfJ6GR8W
jsURawQ7TGszPqodiTD53nRSYSHsvbFrAoQJhwMUf2ybJjo9Y9t63zG/Gr++vAbPxEq8gsRKIBe4
VK9aMJNWL0gwzHiKV8X4fiqX2vXB/47ubk5V5TQlcf9ZDmg5obpYkg+L0Rt/VRijo39GMquyfVwD
vy58ydHCzRWVlCQ2k1sh3fblz699AA8sHbUkWKMg5c6/Vafqi5qo3RBNdS5P0uriXU3nOjBVqaMy
ZjQRRpn5YZ6IPdMBMjjOZR9uLNV2w1/+hs0bQId2/8QvOP8NiacjuTlqQ9QmWvWxAuSPCzfJ+Pc+
sRW/zckp8KXS7Y/w0LMP+do57g4cc3rIC4zXbqzIJpN8+WtMmDH0lKE6ET5dlIZaSOtjAUctSrx1
/mDVA6+Q6Ob3ngG0yE8zcyDNnLFLgIe4mmAtekwFD7LQFolyXatHUtZAkCx9BDVfDB4Fnsy0/14M
QaLFbTdYwPcZwnfHmmZO3KZqiTFdqg40lWE8PZrjmJWBaptZES66OpCMWzi3miiPh7NLER+gOvqb
hlGJr2pvllD4aq2/y2r6U/5WS36DsM6Q+fpk3HU9EGgi2c2hEHqk+FygYPFFGEiohZ2hikdKl+ZX
FadDSPjtUkzkPuX8sR1Hp/f1GRkXf66EPfq44cK9QPMu6Y9d1+s/lXjJuhstletQgMPiQZHmCuK9
uySaxa3irVNTjBEg7+5k0NnfGxOl+UbN3uJDVvhyML/8+eajgWNSA+QQbE3t8803GMDe0E8cozYD
xFBzEbeBQKb1INQyf9RWrwooua73VkU1O3FL926pp8J30lr9/PJPuQ4paSVRk3QsAB00Ji9Ckq2M
Nc5KP0Zr1imHmk6JbzsYfb48yvVTQH8ejtQGUaUEeok6XjMFRA+CSJFdKmaUNXMXelUOE6EwQXOJ
0bwRUDw7Hq53m/c23KxLnqk7U7oCjTRGdW/NoWJiyGnY03yfa5l+ZMf+qXsRTW/wB9wjEPnVrcNz
/j0BsQPa7s0xmsAfk117WdAapb5/eRWf+1ZwdemOcleAmb8YpXdATGLKOEWLhFCRCCqLlENu1am3
mPviYqTKv7EANow4ZfjzudAKX/U8FVMkO5oWubb0h5JK3cHVa/vGhJ45ejBLtY2ci6QRg50PJdAl
yVP02KJuBUQJ71LdD9wakT03LrW1DDtALA9vxLXXe4N+CXQyIFlIh/4/9s5juW5kS9evUtFzKODN
FGYbuk0jUmaCIEUJHki4hHn6+0FHVV2kVOKtWXdEz05EHQobQCJzrX/9hrHGy4tSKDs4l03jmTpq
9THxapeuGhJA3Ov1LgWwuf79W/v5eXK9LcDYg/DKsfzqeSZ9nkivhxhNhffswC70U6ttokEqb1kw
/Lw+8O9gIPR9FdKfvjpWocGB15PGflaMcbJblKb0PW2s3zirvm9OLxfIfwjgKpJVxLmvz6oElWw+
ezOX0TPxnMmJgzvplj1zYjWsoGnsx0prr/o6Ky7WzlZuTEFCcJ7l+aOS5NmuLywlalxCfFVjuh8r
1wgNWCphT8bNrhnKAraTnh6LVo1xtgNWrLCIvi0r5hZvtJ8/rz/AB9rojaC3uay8+qCyUXprUXIn
bt/b14u9qXzrVvFpKIoz/GOyneI2b33FWyH66vFhwoGmEYnJNgt+VahKsy07U8mnM9XAcIKDeAow
1x79LovvjaaEtFauOLDl6Bhi3N7e2Il/sRpp6QitYmqo4tj4qtCwARF7W7rTmTLigzfamQG+2iS7
vJPeGwfrLy9F70jLuxHJX7MEC9Ug69qs5rPehaVitgTBonK1kfFNb5HpX5mPbOwaOtVtiLcJzzYa
5MuP2jJx2DWKdD6bewwVUgJsD/2sK6GulvbZTMEVGrOpBFCBcMmT+kM5KPiDW7Ot3TNBad6PTgZk
S+1xGjdSa6yOKjM5ULixLd8TeQ3BjDHP/vc7w/blv14J7HoswS3M5yfxGN6xxWrn7YysK6fHNJr+
dqmWc2R6ybnnlcgOEPQf7DTJ3phQ/2LdIybz2JMcyEiQ8F8+rdlscgDtYT5LV0uG6rCYqN4ZDbjb
F4DjhhES29CGv7/bX+y7VLiACSbePhtD9eVF7QXiQyw89QxXBOuQEo0cpr0rcOZtnJ3EXeON6/2C
Is85BtSCksHG4Pu1EQqk5aFVqnYEKe6WoOOrgGtV4Z9mM7UiqS47zCOksLqommOM2OS2XKbmjW/g
5y15YzM5ECyQBG32dS9vGtheofFlS6bZUCMtVxU/iZv6jXP0FyQ4F0By07vQKFBXvlr+XpUysayI
sK2M9Sti1v6iLGAmFVDiwma22+NCZPE0m8vBxgvxPKmw2EXIPEQu1iU7V8mMfTOWy7HPxK3RZfnJ
s5O3zt2ftwO4vOQ18fOg87IAXj6KwY7XkpnlfAYptgShpv1brfFpVZTujeX9qyvx1NGWwPXBg+3V
8u7KmTzycpzPhEuJBJZphjFhbIghzH8b8si5wdkOdoUeCTXda+EZmL+WDuWMC0c+en61+Zt3Bfwz
x6YD+v338/NS2lBDlInkygKpvMbj8Aot3XlQ57PVlpiQxUpxbEl5eOOr+dWzA4ulD0KZ4OIC+fIt
1b2qrf1CIiZfj3Km5QxAlUzOexsH2ej3N/QLGOW77Qb2QdQt4LCv3tPkWqXpiHY960EbZOOq4CRV
ftCEo18ZyVQ+dP20nNv2ooRs8G2Um/EcwQ8zL7VYT+9cLb2X6IWef/+zfvEE0L8iyqQdpF57rWLm
ELAKnqsKxu95eKiD7PfT5O4UrvzGE/jFK4VCT93BNgWF9XX6bS+Ktp+KST3rusQL9YpJTkI4+xtX
+XnjRQyNYSgcMGIG2IBfvtJhwiVGZKuKTKcWgaNa2G4P3le1JHHXKJS3/Kd+qm94dGhaOFP53vkM
X33nvLfGhaHI1wdv5GhqrRl6bdofzCaGtNULqPxONZynWboys8VL7vev72euONcnEBdkH1uXTaHw
8nYFaWxrrWTLWbYMZdTLtjg485p+anVbGj6JKDGMDfJroUrYB6Uqlb1i2rj4S8W8wlTYDctlJA7Z
Sd0dY7bkyhODDGeimhB4gXzHVjwHiVErsCAzPVg6qATf7+D/bMf/C6ERU49NCPPPFpx34uuX7LH8
48ujyDAf/+P2K8q6+o/m2x9nj8VjNzy+8OX86x/8YctJUBl+HWwm9JQ4oG1r/c+gMhuLTbJ1t/EC
kN+G2f6w5VSsd5u3xmZ4oeKnweLhv/1pzGm/Y5xpom2DZ4cjOV3cv3Ejf/0p2lvwFFfAqIayhMbj
5dpMFqAgpgrlAcgtIpvMCvVpTI9plTr3bu29obLcPuy/15dcDbEuuxgxuexm5qv9VTMybYGnWB9s
7CZOKLeQmBFI9Fl1p7d0/G9d6hWM1OdIDpduqQ96VzKEZdIecILFoSCkNvzbcrj+z+//e3Da95rp
xW3plPkQ6LgjA+r/a53+hKn00BcD4VJ6Lw9tadtoqhqh7vLBNe5sZ9KelcGcH9V4rSNo9vXVQFrH
ZTOlwyXaOv1LaxklIPeKoKWStn40BglViiDSLpK1qzXoz2SWhV6pFGvQQYW6T+d6Cca2mxHZLYtz
MBxRRnDb7IdMwybEbxZPvdbjNWXY38h4n+rIfCbXWc6xzjN2zCFVzKTACWJfL+K192WV5F9+/1x+
egWvHsurvrJeRUPsh2gOsyNyHOzd8qncfHpGZHR3/36H+l8YJ7TV4RTg/7z3BF/roWPPOX+ExUQs
4mP9arP58S/82Gw0Eg5NJuWuhocDRw393Y/NRlPfUXuC8DI9xXZuY3r+2Gz4D7gmctozraKIszc4
6M+9hiAFlLSExGGgghIMHuy/2Wu+Zy++/P6Z3dNfbkADsBD9x8vdplvbOhtLMnlA2hk0YumN5Mxn
sNvpH9Y4dQX2CGriRTOAbHkcezaM3YyuIAtq5Epg93Pq4lVJDMeuhKpIqO3CDLUNXNjd4r5s4vmz
tKT2rdU28pAcG8sOcyJ/TF8dWtsO1Q6vcEZMc+Fb+TQ7gWmsVr3vNR2P/1iDIXZb6USN3TD5ZtqS
EN6oBQmJi4uvt5RbxB0bWR4aSiyroy0ybQ1KU+DmN8Wt5QT5kphFVBTCIYptHgwo5ssg16BgumlG
2pp4doh4dO6Rf9VKEma9UnVHvmS3ImegNtNoHp0pCckhpC2r5Zy3UcNY6rbrlcbYEyxkd8GSpfqd
K+sFshZl1ASnRWvGCJqfpu6hqW66OqsjiTtt1DwNiUip3et5nrLEb1WlvdDSsRl9I9b6jKFg4Z1K
uOdtkDFGnnFOIMhVxCmS18LxxG4W9WYjBlfwvCqHfIrcTJn2bVdBMuxbMo2KTs4f7KIRH+wxSz9k
46q3DJuV2A0MzDZEtGYpu9jYw0HD5bKpr3JlScqQqrBTbzO3zMbQXhmuR6YyMIhlGN2LO+K+4dt2
/VoMAfl3ycVs5+7VrI8ZuRRwAHwGl+qZ0VteEaAQTL8IFHeX8B2rAx2vS9xZgY0Vk6lqvVbG3Ml9
RL6duxPmZDDMb5bVZ6WG3uJCU0xb0JmohCU5+k2e1DJUWA40GEnFcLzWe3tiBGiuF9O0Qv40vCaX
wWhb3G0bj6TQJxlvulr1Og3cLAdZnMscc8fem+cV7h08XGhgw2hF1SSJc4j5PZGJrdmtwD2i2btZ
mmCfA1BqBc1Azq0vCOVK/FEt1QrdUL1+nrt1nANn7OPppDkTwRw1vvLkY6Lmf+ywPz7p1excdwxv
nmRNdMQODt18xHgOdV6lF7TP5QxXrevN9Uwt+ubWm0pGW7ZwCRlf1ql6Gji2YHR1Ca7OrqN4dWik
mXVDwqBz6rSmvXEQRXyIp14ngMuep0sYl6U4H0k2rYLZmKovg8rh7qP8054WGSPHgQ5WNzsFofwc
jbKS96Jxlqe+nbGLA2fPYVW7NgsNKsQ1qwRuQ1HhSe7XSmoiuOhkc27Xg735PYvlSumb7LnpvC31
Tsztc2a7MLVn3U4xhKi66l6IWZ39RhdmiaaUKIk9GUTt9djjTB/YKeL60JJqfyBEvhyPWVfMJApm
jNkqayJrFA8R70FP3GU+EF9d2L7I6/S909X6V6zIk48xMVCMYWEhQvbIC0H0RUVD4WPqvS6R28dI
2I0OP5dASZGS7DVTeBdsgyhQa9Uril0bx3l7bc+MRKOh0pwPA3J5IqqnxWKZYeVW7xoI+D1h0epU
Bski5S0U+2XdlYWX8FiqUa0hjMPYgU7awQKfU2xRozJP5zRsLEx2/b4DTg0bgiBE0EmXheIuuAj5
c2skjd8tDbtaUSXa+6Gt6T1mJuwqgpBk+Vgic+hDTCnyo02oi+pDiCBXskl643Iz2cPqtgMwCayy
zL5a9J+Ov8IqNYg0SMnMUlK1MumWPePMSF09u/JY1ZNv22V+DoO+49QXCyRw9p0Z81lp1Y0/rpob
KnZVZndETHUQy93CxvFiXOyFiAyjXCIWmW5D3/aU09Tp5Xq1mm71HrzORDE6d+Ndl5rq85BjjB2o
yPUDGy2ICIYMu9pYWkoZQRDv67PSSFZ1JyvTKoJu8jQSIoWB83w7CKsPprrsPi2qi5tmboz2lba4
nruftWm97jpnXg4KiNoneMJTSVJnv35Gvap6FwmazaBYCtsLtKYTfYAMYoB5mvD3fqcoKM541J0/
CLl866y6hRPKvD1FuuDOKVOHxmKlyny4KApXu6vTtbiSqmXeL6ttahFjRDiW5IgaBMUJiSkwPDhn
ClwbGlSoTcO0RAsPiRDVMYfULGWWPBCtqja7VW3UkeozgZIkZ4XPwhY5H65U11UGKXP93I9r1xK7
yRyzJ7NVO8QslcMX0Q7WzL0z2XvMOwxwQ8GX2vtLgZmxv7hqqfhVM4yXckosE35Epx6nFhXOSUEH
sdMzAnngPxlLyrszkhjJsNl/cdcM/W+h8H9mG3Ib33NLnsZQzzkTQ3OQn0gHm49KQvRcAIFWTymT
lanyq2VE1TGgRf1A1FanQB7qhIs2q1nT0BQjer6mNscD7PwBHuu4EQrsVcorQgArtOBDxX6ytkM7
+5Y9uTf0z9S9DlZTkJ8GAuXCPNacOdzgynMY3tPXmQDR1kfY5cQXcSvNwQeShgNl2JzAy2KKAwri
MsqbYb3WCpPfSO4OCl2cZ3M1yKGMKftMkkBH2GA6TPupqvunSV2jwix5D0lli2qnJlp2h/E2ZxQv
oMBJh2hXy89da/oqRiL0UG86RRe4TVlapJw3bR613YplL/lLo6/aM9IS+NWIQoTSAMvH6/y+7cqK
F+VOqhPZlC4igCQxOxf1KEmHgjBZK2FuNjW5qORTW0cS3TjriN/zrKvOc+srKJay64OKSJ3Jz/Sk
f67ycsIXY0JkG+CQU5LS0HSjfZlOCWj8AC/0PsnWnNNLHcYpEpqSN5HiiKE/y7xRsGK17TzTikV4
58BOHrtYO1XZoSylUu6rOtGKIC97W0RMuaAlQT9jFPe3ivkX7dnrFndTxW6tGfN+Bgt4tbwsOjOE
3rz21TjUE8sm6Bqtvx6WrhgDxYz7k+mWP4wv/hVe8ttu5EUM6j+Gpf4PjEB1DAZ1m+T2n1uWs8fq
Kft7l/LX3/yJiJjvSBkglg04Exhjs/n+ExEhng0/AvgEKN90uCh/NSnK1r5AjiJQHcRw81bbWAB/
tin6O0Z6zI3cTakN15vu5l8EtDE0fgVTbEy1DafHgwkQmFiQlysmkcTtrnwR+5pC48leF/txdvXW
jaTm2lcEA8salcGiUMHoy+BCoo/jNFhgeLRhOpsauRhtLPQwNezR3g3rzC7hxiuR74iFzPdYvNYT
Ygp5Bk+qsI/90MpTp7jdGhpy5SzvvVr/mLhz0Zxlut4PEekEjeanJnCWb4nZeFzz2cACA50H5YaS
x9KfjEy/6sxer8J6RPrEvo/fAhWPlZdhgiMB7YLa5eRkWrDy8cqt5Ad+wnzH5tI9lCZa6tDSK/PC
tjI3Dbx8iU+lw5ngq3Q+fUhb11RwXRXxlEx9983UOWnYN01KhUSYYqYawQACHxQjI70MJ3UtLPCM
fvaasrjq6pHzfZIC2Y5R1uYZ0jZs6peG7JVD4tozZxOG980WreCIo5EX1PRqOfXBzP65+Jo3iOGm
L0lDx4sjYQSw2pCiEU4lkxm21tg5gUujYaDNmpQpwEk/dS+JH3VmNtvBvOrWAo3gtFSruEvXiYrQ
zK3M3LW4ls072i4XqmGRz/jdq2XpRlC9+xMAjEYSejwM9S5GzgE9MSvi5SqfrW7ZDa03kLjSjXQJ
pGmuVC6ytMpgLkTT34yCqtU3GsLEA2bBdR0lsBOo39h8B3+gw4G0GwNM78aGCBjIcJgxRKYw8Tcb
0BZYsBcwt/ObSlPqCA/kyb33ynRVYImIJN0bDdHpVE+eugkV1Y8TiB3JFEbv3es5zFzfndsV7/BY
udByr31P7n0n/D6J3Zzs6NJY9wM1+S6PCYyiSZwQNpeqaI5VlzS9T0neIZBa5oHzKBkxhFFTHfqh
NZQgzLhdXU6Dnl1LXSrfEkVxL4slHT8J0+rxi/GyjCD3vMqCkYn7jTrO02bbm5eXUhSUrfjH2d8M
MdhK2NheeadUEvMLacMhDmxoyQPHaMfAZXZG2pJYVa8mWGfGHtlYbfuFWWSLn1lV9qjC12l8ggrX
g6gHjVqgKdOHIh0cEZkdEdsgszAERRabERuLzMMmQ3MVurgF90erSj2NfnFsL/pps7FBMsQ/51G8
POdFm9yvo0JWW2viAAAJ20l5GYYRfysVJQ5jfZlvY10vPyAw7L52Pew6Brez2gdOO8zqXk3L0Tsk
1WTon/rcq4bQhXh7whqGm8Q3OKyIGRjfr8NAkTfQGA1ElZK+qpHgej1tiazDf9JZZZ41xcWMT+15
j5bjVH2Pck0ndBcBn8Z80r6HvZYM7+0AoYncFd/jYD2AkK+QzQg8hBRcWfuV3tfF9mQLkv3bBv//
ccJaMGbx+ycUCE9wts5XsA7whhATDeZ+NZdsj5MMw+2WNslcqySiRRUPv7/e6ynV6+txFPxd41St
C9ZSAs5G4fTqcTUkVa6jv+WG+hq+3K6CwTmiEzhMLMlX8OXoupSJE74fNeToDKes0ll4U6pBrnru
7L/f0r8qGf6xEHhRLvy2sPgfWDIgkcP1GJ4l4S42c2l941n8c/lwyJK0fKyf/7h+FOOL0cov/6Ef
NYWpvgPBZL63Ubid77OUHzWF4bzj2owaHByyNsLbf9cUxjsNOBI7LADJbdq7gaJ/lhTWO0jY1CAq
YxtcTba/+xclBVYxr2oK0FP+GeRL7Nw4lzD3eblml2bIHJTx+eVqEX8EfqSv2MCW+JbWPY4by2jp
IBPdcl5b3SckVzcU87dxPoRVo+xUpdFOtZtc4DJnHSq30o9Ka6JuVO/Rb96RTXw7DMZH/tH3Qkj2
lkU/eU33bCdxjf7OSfaJQZeRGl+62uVvGYTsxJQ8T7mkaC/2c2xSesuvfX6jD8OlGWP/Eaf6Z3bf
exzL/CKVj4Mj2xsVdTm6Y7od4yPCz/5SqPZD2rrNzuvGOCrybg6UUlb19GWSzocKkNGv5p77M/KD
mPlk66YiA9PERnRYwESm5lYUX2uxcLZiDkD0ahJY0g1pXQ99fFlrTIjc5Szpx8R3leSy6M/WEtsX
D1c1Bd35OS7O3m0yLIE7E1608eXK+dBj2KGvTY+W1u196LwzezNbMyvoMp/xi10ZQ9SjJUKjcXet
kX+oKmXfjvGnBJTFV3V5u8bSxkDsSTrTWZrfiDiuLl26zgALrKdpaj/lON9Esh1vyiwvfE/EMoDX
ElMuFE1YZmCOejy91yQibYaz+QHOFvyuHqV+ps4Y9HdmNMsqXJzpfh4S9WIdegoW9aztXBkRAtQd
EnOKgMzDOq0+jSaAmtd6Z0MRP6RCd1BnUUfItTthlPzFHiwT8qL1cdMQgUi2n2RtX/fNsC8a/bJt
MTvUFs28Y609WpLzvNcYdeKLkij4NuiLe742lATUR6G22HvD629mMODRqp8carHAWBzntqEmJEOY
5aIrmR5VoxWfF0Bq904CBuLj9obdib7qw7WN++hlnaXqHZTXR0Mu8pwV0x1reyqAcYnhxdyAA6JQ
5dAEqmJUeaBkHQDULCf7SiFwBAOFupp2M/TVSwdf0REUuu0jk2vT6Oet8nnWyZJ3KnX4VgknOwAp
cfnW0Bbce8rxeW7d8raUVL9Ij4iDB6aNj02MQ4WZVhIDu0bal6Cu+mXVO8CtJGHld3rjsejctj26
AP2ndJ70wTenMQ9WuwJQWFIFGZhp19cKsoevWZk1j8qyyhsOOcrLqek3sLI6DWWMwTzOeaWPPBiM
HdH2JT/QOpAT3NGM6zTHijkte2Oq51ulbnLHl1aZX8T4x6hBw2dymWpmeVxjqwecG80dFBz3U9fU
2FbH46QS71B5j55ZT4XfyHyRPp568rjUcXkozXYKMT2tpD9gHVb7U75V0YVcEH9jUFhdrtJe77Be
0OC+r+0thjTxEdctEM6JNxq2RV6FqgOVGwm4gyGO2QWot26MvO6O1aJsTh2dEyaNSQayVpw7s30z
DJTAPcF9O7mO6i1AyLOxTTAHZxaHVWmeYa+Ukd2vyTVP7HOslMV5p7kkS1fyVEwWhVU67dQsG87N
0q6u63F6mM0EhgRivOOEOegeFuRwI0YlhSCd6gFLCkOJGe9BRTGaSMcl7+BgCbJXq7IJyIFWLklV
rqKZPFT6i031NvLRFUnkCo/3ODrDhVsuhU+AcjgU01VhaBfFrD2MAzgeFq8ZD6KuzkvTpEZe2kjG
9adqUA/1qoDNWrXFLMElBsKIGXSMzjcxalsaIyLcekGdGONI7Ts2P2DowrIosSagmj1THfUw59h8
9My0AoSo79PJuC7tsTlIJTnPez0+CsWuDzIrL9sKiFwsAuw9rxgEj+p8EnV8OcbO0a2029UrEG5K
kj4UzWDDMxuDOtG90PSlCVKFH260W/PB8j7pKco/PRtBqGLnc2Ktogq03P22rOXzgunMRWOUJ6VL
HqWaZCkGF7YTrog8G9tqg5TJ1JdJqY8Uz8neUGQVwSQKFxQxkZzkpSHtAOOzerd4dnVa7Bl7gHGN
MEB8bionKjNxrvWiPQ72nNxi4ZWcM51gHC5hPHbC3jvFcN4kYggtdb4HxD3ZG/xMDKKfNMyFWrdu
7nRWeZnVkZDOhTSWPnLA0YO6beIDeRlnZY89Qimt8UHpRXJYOZH3dg3ZjmZxxVSFcyN2ACLrccYX
E1trRhlx66AWSu5aYs8fEvQ/qY2pbClJxx48kLabiYKdRjbEyiAQ+v3cf0nrYyMklFwZZOt2OOrZ
SZnrO7Fkt6nqHaoFoCzHxebBqrv3sVF8WCTKJQxpAAuVDlcJfqYzkecxnIMlPKPPAxiG2h7BA4gD
Qb6cDxWjHzF1aE6x0nqu75qc5Ir74LGS8RQIO8EpMIINWskFdLhvNcntB+zocY4Qnb5bMuRaKSYh
qXxGP3RajPbM6XGNiJ0AjG6v4VNuKkTpsJyQ8QjDDEcDR49hF2vu/apcdVV5DdFhOmIMdOcpXmjH
rcD+Xx2JPGQoZxniUmlUZvsl6ye39mzytIeKem6O5UlUfXGYplElzW41AtVVfGXJEJA5d0VqeNCY
vuLSHLrjUkUy04uwaqv6bME7PiwWnBSG8ri0zHWUxFQ+uklfhQKSaGcS9aMknuLDU34QdpPcjdLt
Ant9qKSwAsYkT9v9RGhnGSVVn+wmtRmPJhyRynheqWmEA04byNQF/K1x4rgdcSRhuLcWwVTWF63V
0cKsJLxYrUZiOEavmW7vuYf2YnQxIAY7yfadZC/uIeEtuXPF0PirPTifvRmkWI2ThwkkILAhfDJt
uU50x6+ygcNtrrASVp3rLlYvZdXeNUK5B4ugcamM+Ea16+J+UQEi87aewzyzTpYDytE0bI95VqmR
lGMZ4frwgVm+EvTCAOlYqKuk0MuomObP8WDdGdl6Neld54+TvTMmCHZJDO/FbToA1+nOyuRX0sDd
4zqbX6xcC/RZVBGTsoyZhf1psBDkIjb+iPqRYYKq+xqZXIFAPBTaVbGGZh0339DX9ddWPWufG8ci
uNCJs2ZfMn733VaP2tkZQhtU6zDX2rVursM+a6z0pm9g9TZeul5bTJx2AgeaRmC4Yo02xGeGSCkU
FLJ4kye9UQhtjDOgiWL4UFaAZiIzF9/R0GlgUxe0XZHzunK3DVjv4m5ZJu0waXWk4PQhekxa1Hys
j6PVZWFcz0tUr524szzqrdbMvo1UkVdjEvPmipNltvumVi3YAEm+s7ovRt9qvmok50VXXNR5TLFr
fkqGwTqfqTlUPj17DDAN6h8wFuHeMlLoF6S1nU/OTHw5Ee39PLrDXPtWM1T7cq1FHnXGYu3B5x4U
tbMFKBgZD9U4GmEL9fF2XCW7G5/RDbM7bFPEglO6nHaVZV4PqPDXJRnOFw0+A3NLNlf9/SxSKxqQ
FwTUafn5IqprBo7+oC0XJXxxc8CUxVX6o5nAnkDGxHjrHmr1yWiHm2LktxIUf6yS6gPkjw/I/i4G
jKz8aVn2g41dsLtZXdnrxZp6x450Baxm5KGgZ5k0pfdLjYREDXFg7d1qjcCOhsgFcIfqOh007yil
SYKQI/NdH6fXGlE0z4mOqViV9mCDljBZSi6farfiOZbON0UG3tU7QHmZVYOdzKl15yCKCAugjNAi
GJrzFDXAiLF95WhfrcUOGM/bTBaa+qGHFhLUKjkPRKOmCovGMKw8QK/yUc+80yR7UD1pyn2W5hhk
SjUPoYKDhCJi3a+wtnZkLzYgl/O5nZfJNdwML+pIkIpK4TwlsrDCVJ0Za3XqneBEE7Z6WMbpok0+
L4MNf8U98v2dYBXYJ9OppiA2qRT7zx7QFl7lDSidZj0p4oYUl/ZQ6OulDdpTeXNgDojfkbH6TLRP
rPaMaer0QfTyOtWdZ2nZT60n75ICQWtRHJW0v3GG+TgXCuSWYZh4PJh7FXQwe0+j4VuBMqK2jI3b
dOlG31qc3aDo17oO+FOVnwWkr2DtdESr2Dr5WcrnlwIcurriU+eCfOn5jW332nlcI3+6VJVcEk26
oHi1eiqonSppNxnMaX4xecOMH7txQcA8nARZrAcy4J91J0/v0sLWqXrKRyXXH3J3/eZ4THsrr3Ju
unJiyh13064uur3bF4ypMXCN2iX5UilrZDjaSSruvlRr/ZDK8UNSJU+lo3wb57Zi+CTXY52bN9B2
SlS4GHLZwryCpPdp0nAmUginOfS1t5kZg4JugLiu5fWt6/G/3BZdgdW6U4iA+CnPM/ecyqsJUdl6
kXRsrOHqWtkZOJbiyOvgArkIxd1ZCIED2+A8Ieh3PNM9tXkQdXmF80vU1ZCR7PFWb/rHfHGDoa3e
a3W1YjFZPI6mvtMq5SwzvhVjcdtN7qdRXwzSnItLD9Ez81rnIYemH3mjPqAy89KAua2h3sVEymgf
8oSaxOBP+m9mWdi3ZhrLI7Yg7hwp4+QW2HOqJoy9olUGH+st0T7bUyv9th4UTLfayzYpD0ZLZb56
Oxt/uWbSdktKhM/AztMQ0BKmjY4pN/4ioTK4NVi4LCOL6KsxN7Au8xx01sQC+yXdM8ox/ZugddhB
JNjS9dDHwB/ylItCftU1ix8CBUv4GN11V6uDlVwrP0+KeVmI+XkQwLYYsoJvqF+Gxkj9zlXpjtwb
d0VxKCDjOPV+22Rix4rcpfuGadxZMlk3Zl7iVWdqn+sxP8TuTAfB5HxQ0m0I/XGWahsks3lL2F/8
kHeqiSFnfsqmJmpq/XbYgAASnl2IQKtzZvcHPmPjWKgzv3OasSAw+sNEu7IO5jWBGNRHyXRcoIO3
yWj4E1P2umEKMnpafeHWdXEshu6zK8dTLNz6JMteBs40XGgaC3GSyzER5XvCzSBapMYubqZ7ehZJ
XduBuMZ4BA7tfScLAULglJvzdH/DjP9jW9IPjskcQuyBCYGXcYBtkrczTLRH+eahrVlli/3hqO4w
0558kPU8guFEvkIllbvUcfZjWuz1Jt7Eop9bvKWB4ajDPjWpCd0BEVc3mvlu1KcYogbmOXDO+w81
R9+0WteynbUAg6zuHG1fEdXe1H1YFUbN+l7Tea9Z/fTvUc7/bfjlNr7E7et3mGX02A+QweULuPKv
v/sBUWo2kCIjStPCxAagHCDyB0QJN5MMNRNlB9NQi6Hof0OU1jt0WgjGVTKt2Y034dCfCKX7jpkU
agb8C/GsYFBp/RuE8uchueVojFiRwnG7SMNewpNUl0LDYKI4ElShv9epEB+yXhdPLvS5O2Upst3f
HtAvRgavIXwXBru6hSlug3m47tvv+VsUhSCuwYjhnR+nXjECWzjuncCDiCf8F3T8i6t8n+3/nZn9
/TImpgabvcemAXl5GZuKdZ1VpTxiqmhGk8Np40+q1h3jvDT5BiS7tJWgpax1eWGknfG+tLo6Ksuy
eUN0/fNPgbVPKpbDqBqRMpYaL38KHhlqubSrcihao8aAzF3TLOi0vlHwtPAImV9wNqFjs6wYSpZd
lP+PvTPpjhs5u/Rf6eN1ow7mYfH1IkcmB4mSSInSBoelAfMUiAAC+PX9gGXZyiSL2fKqF17YPqdc
EhJAIIb3vfe55nrqcCKs7KHgNIHKU9Xr1x/PUnM+ejr8FrrcdM0R5ENaOKlJW64kGiIrxAHkk1gF
tTPfW6nnoFQ1OT13g38rfEesPRHGm9ev/Oz1c2VsY4iZliv7z8KCnA4ZYFX0B0Ude5+3fb9VNoyh
16/ybFAvzxpzw0LrWywTJ318ra1WGrOCR2pmH4a8aiEotg9h2nz3vT6+eP1ip+0iih2LhRnkQrAY
frFlHI1oK3PdPgObdchFVm2yOZl2hdQUGwyy7V6/1NK0OHlxy7XwEVrLXEJv4/haSWbXseumnM4N
0ZInaSSgTqeqNa6GyckciiWGMjeta7rDejTB/a3zphgOTRbhBOznOZw3s92Y14pz7EM5hLCiil70
N2FUI9pLzZTDVWeTSbVK5rkRINe8Ub43C/iW9AvAmyLxUqjlnFxLijSEz351m5AWKupgilSj20Ks
ypAbfprYmCCDzoPkzKf95Jk8HrwB8hHizBG8MxGektrGxMYKCDid+GbSdRBJRabY+VGTOWRcoV1c
kV4fsimaLR3ftkmh9abmcb017bH70BkjVcDc7c19Yw7uu2nosjf0+5qP9VCSP4Q/rL5vZ6u8jMxu
/B7kS1x6FnNHa42U/BMemSTZgqOo/DurC11/rZPKCq86KWwPGng5yz9txfYdGWWfaqRdnpGM1yEd
p2rf5STzrnN20gMyx6rXN4ovJd36fjpdoZfK//QYSQg1U2b+VZU4SELyEnjtSlRJHdLG6RTywMCe
3WsovFX5Lslk9s12e/2IjEMwxVXsoj9WITKvd0NStg+vj7+XhjrJIXgS8QUAdToZfv1Qm50r3OKg
Xc785lR+qrrcWwVt656ZoV66UoibgQ7eslCchpTkqkVbPauSpFjUyXLkKIeKgm3WAPL79Zt6PiUt
XirM2TR9uTf3ZDLs+ghESxNT28MwfpM2utqUdlD+9sTHEg9gEB7Y0lY+NVjmA9jfgFLmQWmT4NTR
ji/strL+6ibTB06+Ny+sey88NlSHoN45zWKoP202VigqpJeq7tB5afkgLHtG7ohSde/ZSCTOvKMX
HhxwFsAJlFscB97B8WQ0ALR2JivtDnMXPujY8Q/Ujs7ZuU7ap6wWdI9ZNhcmHwYX5+QiarAbrwax
fcBTOlLZzeZFOJ4EIDtKN72xqH8e1JDYN2UPWnU9pib6vtcHyDP7Pr8BNCMU0aXHjAJ4mZV/3bMk
sasAiYtDiuT6rjW6eRsHKL9Wc9q2dCZnOM1RZ3b7oArhuAzhcFvGUX9uVXvhUSxLJ3Ho+P/oaZ/8
DGfsuhm4XU9VYIaCJXKwVxcyS4VaF609JiuksNQO/aQfb6LYBZfl5+iHzwzk50OMx0GoKAilELOF
xc7014dhG1PUyb6Uh7Zu29uwNIf32Gy763xq5jNbp+XLO57plycP0AhlH6CXUwFnSQSjkYNdObh9
QgVCEpK2437BHXvO4HzLIyJ6VRsbj3GLkujMHuL56OYZIy202KiAsXsC3P3y0g0r06oytDxoS1qc
G4t+LRN8La+Prec7Fa4CHwezJ1E8nBCOn2ZYJQNkS1ce6rR+TLxub1X6zdgCXWMh/09uyX4yl3J0
QEpwOtOZfcxyY8iDdGT5oIpEbqWXjB9ev6XnA4TVCSkjrQSCSzmnHN/SQmAZMrNTBxqc9ZVZ0OCk
ykwNDVLzmS/zhXeEsZZJBXz6ogA9uRTy66F1oPIdKL5THC/RfKPWOff9P7sK3xwqMd+yiZ5g3TvZ
4OVzXgcDkm62URYOTrNIV+zewzMW2WcjAcoBfzmjHMEIcJKTr9stsyizsXUcCiyd8DIsc1srSjGF
UWZ7dBP2mfH94vVILGEPDgQDQNnxazLNPMqcikZPrJPoPVz7kdgG3X4bbAoLhhUn/pkLPvuauUHg
FBz8AB1yHjp5jMIoMTVHznigvuZuUQNd6Dl70KNFrPf0Fo7C9Vy55/YRL1+UMc/J1ufiJ3eJba8z
29nn3ZnmQxTM6zorBfKOaFqlJIqvAtm/HavxzB71+ZlvuVfO1eiLkCxzyD9+uAhLaOaKRh9EYu7C
ATHpPKD46bFkXcXSMN7noh3udF1nKP4r4b73O9f9pmPv/vVv0Xo+di2TQza8l0Wi92yNLvOpQ9rg
ozupXX8TNl6IIMLq4mynJEk8ZZvn13ZH+myemQF0Nde5TBpZXI5h45ChYEHtDMbaeJemnDLODIiX
RiC4ckRYTIEAGk6WdkurEIZMpA/IlmnTZ5S+C7psvpWjtkvOAEmfzUq8EdIoWUtC5LPBKZEMo5g/
qoyM8ZRsr7dqTOKLODX8B3Qh315/5i9cyQJWx6YFnCi28BMCzhjLxRmmJvydfn05NkLvLWWVB41O
c/v6pV54u1QaKSlRRDJD6irHw2zO1YQsZ54Okau9T4EKisdCdN6ZWfaFG3LYh3E7S3o6Wvzjq6SW
nXcTEVnUUlR+W7dlcIVqKr61h746s+I/vxTVdC4VEVm0nImWG/5l0eUAXTqAX/QhzINxm9M12Gib
w1SaNedyEJ8/Oy4FTIGZfVl+TwtRiVj8P7anD83QDR8CdDuf2OadiypfTkRHWxiyrhgNQFw8KgNI
ZY9vqB2RtcC0nQ7W3E1rrAT5Pa5RTZvVMXaoev2L1huSi9eHxUtPcYn2YbUyYS6clnf8BX2v3Wo6
ZIm0tijok48DT31lNMl8//qlXnqKC5DCpxuw5JAuP+WXF5YUk+gtV3OpTBYXpWyy7eRKvXn9Ki/e
0MLQwDa/JNmezhR06zn2WNPBLcK7aUoI3I16vTIwZZ+50kv3A5yGWQJoB4yok/vJ7DII0smZDgXW
23USYUJz5HgOj/h85uPVQASj9AshBpfS8VObUyCzflTPh3gKPzSyPcgoJ/Zn6n60hu2emWafL4Fc
jE83sBbWFbd2fDFRkoYXT/18iFRIx0oHc3A3VvyLq7KipbgODBdzKIqLcKl5KPtMzerFe2XpXfY2
Ibub5f//ZYRUjd/79TDOBx0GMltDOdfrznSMQxfZ/aWNXObM/T7/5LjVpbJJkZlF5UmQ+8sFRTD7
lG1SceinMttKS7gHjZzvKupyWrE9elTMx+PH10fo84eMxBd67xJthxzvdITaUx3k0o/kQVSViA5W
ZiC2TyrgW2vYHaHCO0Ec0CooC/td0cz9fOam/6q9HM80TJv03AmDJHicNfX4OccpmBKHAi7CHaQO
60zKclgLuFX9FrNOghpAeajZh6GZ70PL6YK1aSur2Nq65+hY2NYEEQSY0HsaAePXVFV9u6ZplbyV
dMNBJSrTJEfbCnt5L6OoR4+hA41lpetKY01YQfd+tGbP3LqiN38URdXbmxGzN5YSp22Az+PPSZcT
FJoehaV875P91e0yeq+LuE2MKHzAQVYXlj04YiUs7asN/x5waKfEvbGrLUmXkwY1+pWZLRO/GVAC
+xhbevfarMm5d/EWJhuHhCgTTUniP0ZaNMFGQbMSmyInzvwgutxhC5Dh6RK9WiQ0QaHvS2FJf5cJ
w/pCrBMlcannxFyTIpvb8AjzeVhhU233mNjCP82KgbvjVZC0ZNLiJFrMzmIi0w0ObCgqZpsKpMHG
rkvaTqzteobbiIqt35HBUt+nxFImhykUZgFfE2FKaBcUHssgCejk49LBLGYKg4xgHRJ70/s5cm63
RsNUFq6+UmExJFhTg3la+01bICpS8xozfLAIHyMs5oCPeDjmQHQkRiONoSx3rE9sDmPsWaNW7y1q
pfzSPsqv6Y6kH7QZL8pICxXY2h5LqP4mltJu7/Eg0e70vbFVxohl1YooQ25y00UtnknT/Gy41mhc
WO2MiAfJ0JjuYxAI+cohMUCussJDmOv5bt+vkHKwf2zIYvf2EaaedJUGovkgJpfyLNrG4dHnL3lb
G179dTKV+jYRqvOZCDQ0SqYtB+uRxbW5mFUx4sjoq7RZC8y9YjUJ7Nqrynd6sUkHllvMa56zbOy1
QDnimgHKwcKQt3mdzyU9WaQeG9reYH0L7bjYnL0h/TAn+eSuo6GynW07xmQwRzH4+RXFcmSQbaA1
oaBaU5ttrYjooQLD7HcXa9/bIMCWhVFdTPlKox+3t2i3YtSIQd/96XSReGSIEI43sNdYBXbRIuds
6/eBayQgAJSDi65OTf/B85N76uzzRw6x8UUK2QM1F1qweqU4w7TkPCiXYjcpHOGFN8duz6fQ0fuP
oDhlQOI7sm3qWA8YnsbK/j7RJ0dcaMc+B51uzqGCgLbYda07omgsmZ9WZA7nl5ouNEk9fidvulI1
Yjtx8vs0ihoRvBC186bObPGQl5H3kWQFguqLuBgdBGKL6YgsMayQEhsAokMiPzvySmzOWFgmyy9u
5aBkNlXzpbfKmnfP8vS+DKKmQfbDa+f6veGt2FLU2UZ2Y3BIqZz2e06Pxd1opu13c0j9axdVQbop
/Vo9KA9oDM16OqmoiadiIzqyBFYUicjQKK24/OZEoyo/jG1V33tTkX+bhhoZMZLUOjqUFKmXxOP4
fWDETMsg3+Gu9pYevnYk98BE8CvjKyLZdB+GI3KDnBzvt0aYDMhIgayE+wGeKG3DJUztjRnpxKEE
5pgpUmCC2DeBnHrYwjZmrpWRO6htVF4WA8mEBMes2mhMbnQblpvATuYLMzbu8lzeIfMbwc3A+etX
9awF30IvhivibRj3PmNKwn4lr31lFiH4fKJJo7coCPsHm3jTYRO1NcSPLAoe3TKd3k3+6DFCHSgI
DGsjfeeHxfw5jqMlpY0spOtA6dB9m84ZE3w+Dp9wzzvDBnEwOZO9HU28lDlZRBuTxWfTdJkK32Ro
P/+5n/uv6ekfy9JrL+D+f3WrN4/y8X9Bc8rk9Oax+v4///jQKJn+DdjpX3/8p3Yg+IN6iePS8GNd
f+p1/dQOuH+w64YIx5aK7c7SBfsJkbP+APPk0YsMIXADOg3Zcv0UD7h/0OjgU6Q8QUGA08FviQeo
ULKrONp1sPcnyZc2DT0HgqBPduY2jGwfmXJCoSNI8lWXKpOw0BrAx1BuxOgYcBkwMpRLLmNgNt2m
rbLmIUXJ72ylEah4rSRNhFVAX9i/RIENeDLAZhcheswMpIcEZ/9A6DY0hyi14l0+kB28N92xHw8m
Ybt3HiGW3ibxxghGAvZJYwMoyCLMTNXEORtpTiL2NLrYFSZdBw8eAkTsLWJwWERHF7I1/oLswteW
pjMXehMJjDIBr6mjNlLbJncNF0lW28S7HvNsjFmpcsv1UEp2PWYKY2blxijILzPB9Q7CSK3rea5Q
3VlB3iExtrs03hT4rsAa6dAIN/lEeAYqKyTia2m3ITDHwEUsV2IF5TcFRvIuLlNHXzeetq1PWEj9
fG2iVQLe1taDRMZQRm+7uEQz6grTKTbSnH3W80B18wUTQP7B6sgh3WYcPQU24o76g52oBHkX27tV
iUjzo0wxNMxwvNh1paH3I7FGBAfoNhILuXgEVIQTAwq6yY+dcI2/CGtwLGfHwm1VimqVA8UYMBiw
2d7ko0vFBk1f91Uno3Eb+mX2KUtblGqzS4kLyy6viC0ibjHw7H7ykaC5slxbXSWhKuVD8ggHirTX
OkIDuyoaAH7soChVb4DSEPwSj5FNCIYK1bABmrnI9P7iLMV9A+nWNap0bc34DRYpKXOl0n36CQs1
tCbXX4p84wJxmpvZG5GMjw3rMPkmel8/MZ80W0I8Rp4x9FttpHChegsY4oKKap6oUXYs+nCXKyZ+
rE5IuZH9kv5bpwLe1EAN9aIMBCYf31ffRETKIs4OzB4ZRIsCKhKDQLZe8EYuOKsBnpUk2bFDaqsj
gFcwKUgsh7LS+fl2qhr8wZoEdfM9+wWj2AQoQ94olcOtcWyjFNu57e0WRkoBZ8s3fPS4wYLfImu2
+QQrUH8iBsh/8OelCmQGzrgvn+hdXoDWa3piepmd0+6aJ9JXZYjuAj01/C9ga0/BH2DBglGJDBvz
Qgubcru7Hp8YYrqqyvC27F2SPMMnzpjQaoY55lJa3fvjXKstKwhcMpN9OYq3BVcm69Adr1C2+vir
qdWnOBQNThP1mHrxNjUtg6QYxAnTpoNTEu0MB3MGZBgx6muRpEpvlwMxNKgm+t00cnrzkBttDqUh
vkxcqsfnJdK3osaIy+wQhEpeFb3d+bsUp/aXEJvluTP482nSDxYePCnZyEWQXxxfzG2nLnTQFx9k
HRnrJO3zTWiXxbYSRXamWvfsvA0v2bd9E80RDctnchT8ilJacswPRsV0W7iRukO23W8GAPsf48U+
+cvi9f/Scl6uB6KDe6N7Tn/7+NZQjrtALRd6lIAEA65gBFrv1+a1rGrj839wrSUOkEI2r885qSWA
u/KjmPrwQUwi6VdA1CBToGu7Swfk4797rQBAOD0lxKYLc/VkZfNCVfkgndlwprCtetuZ32RjZ1yN
hICfeYRPq+TxKsq1SP3xwFfRljsFPRf2NBYMjPIgSFpq13nuVG80VAz31i57zpPw5qBJzHYc3OZV
bvQbt48EmOYhLvLrgWrSeyWFFaxwCWfhmcrC86G7dAqRKHKMZYk/7bHNDvqBxJqrg0M88DbzU/XR
knk1omxJfze8htKF59GqIA/R4oMJTj4TAzskmYtJfWjnIdkRfEcErM7OZb24z4p8XAY3NkoWINQI
xE5eLYglKvSVXR2acTaCjemr6UNBQRawSmUO+VoGMryr3MEt1g6ggW49OooTcx7Y9Z9LRaHYB9lA
zh2FPYnXpJxyF4EytesNloQCRf8U+vcWkNdki9+YQlvR1sm1NFv+bcsw3Hon27a/7ztMpxdp6Ip6
E5uzvDVC6iOPonStqyopomIzl4Za8I8BsYe2TBSnODwtycrrNGGUU4V1Fs1yrMS2bUimYrlOCXfO
a2WpVT9wEIajlfufrTb0huto7iNAI/z+3/4ql8dJc4X3tvBET94aDvusrgZdHTLFGlAnMVa2cLrn
mNYffvubpLaHBGOZ2yzvtIHtZKGpeJ7VYbQatB/B/BlBCHcmpk+/f6FwaY4ygdIiONUEZW7YWGbS
1gcjyDB3xGbInlaDjPQCsXv9Us/KlTSkGOvcF5pFJm7ODr/WR7UuzDapS/a3deTdeKaM1gWORFjf
+jAUREKWrvfj9Us+H/9L243FARkmCo5TxaKJ+qiJXac6xPFIecxJ1IHznvPbL4ujBu0v16HHzDq0
lEx/qcNCMqWGmAc18qAyy9bTKMvLlA9u2jhtkpyZQiP+suMZFKysxXFoEaagtD5ZGRIPOHJSz82h
HQtzgQuyXaSIqPqLvozInbbLyVw5wrPKfV1PHjlBs5JnZsoXHusSVsV/IhRRqBOPb9gV3CKJh80h
aEpA0JVoMiwrXWjr7dP7++/x+R9wrFhkIr6Rvz8/r0Ai/4oZ+/ef+XlohqJOs9enVQR8x1mG978P
zXT6bGeZRGiJLwvDz0Nz+Ie5UJCRVdFKfTpt//vQHP4RuhE7G4729CY5JoW/o7h/tqAuCz2/DZVe
xHB99sEbNSPZHfTBLiUgiUrLbd4V9taw5vlMI/AFHQLQ9aWLTmHBsmiqHg/JLk+SJm1m5xABRl3x
sRYbEq3IoZvd+ga2Zcqqrt19EsIwNZNB3Axup/YM7eLMLPcUxXX0gS77Xo+aA6FgtCVPs9PJIxPw
h1y8OOAiUM1yErKpcPXGugqKSKwMy64+j+NQAnU2tbquCKhvLjr4wXRN6lGOu9SjNLa1stn2dj4W
9Y/ugGZmheFqup2y3P5aCVvUgEYBdKwQhquBPgHT6wp9pyRjpuC2XSlicOsCS1rY1dS7/J46M9GP
trorZnCJl0wO07TxJ7uiXl+2s3fVGRSIfUJ7PvTUQA4VNXPoz5GM5dYgpH7aTfnoJVtXmviUlIoG
uQN1qd80SWoEFBinAVkxbF5oCgiA6+8pPcEvREQR5ZBoorsL8m1oegNrANVtjhh6+sHYloOlo1XS
teaHniaZuS66sb6jEBl9nDoH6llNBouzxXDcgYpRqt4TrA54LPXZvWy9KMnv4WVXQBOwPuzmBk/o
hYoxAlPbRe1h+L2zU4EL8cxL5ya/M2AwGBtIGp3aKUdjRm59jrArZQj7lr2IjQl+XM7YalTWlYsm
c/xrVvtb7eqzFhonCKhLIZ/mUtF6KjX9sl6MpLfRMG3cA5l7emPrKnwIuhzaS22X1yB4+0t6d9GB
oZqdWamWxeFobD5defEMcKbw2IQefyVDFBdGpHv30NejdbsE9OyaqclWsVOpR1FM+sxi9fyz5IKs
V3wHLI0hoVvHFyycJjJiWioHhhz57DPV7Pedasroijhn4+PA9gaH/hDCaS0RSuE2xEp5YcBCuyT9
Gl7yf9cTOR2+/c/P9eTVeuz77FG9sJ7wZ/65npjOHygAqaP+tFz9az0xzT+oo6LsMNn/Lmqvf60n
NgB9Krac9ikwLAoQNgM/a7DALqGRIgojIGtJO8Vz9RuIqePBiySZ9chj5uYsYzG3eie6wSyA32OM
fbIPzByEUVfgwg074NEOzoHrZmyG+a/h8rcf6vEC9tcVl+MTCybqBYLrj0evV7VRkXqgCPu6ISFT
uPlW8V9X/hz/nmbwn5dCL48Glx2/eXrgd4vOAbe5YEe62nbXLU2waWf0JUgGCu7wWkY0NHs1iGqG
4JwBoPxlZ/FCceN4S/d0fTqEvFlymRdByLLt/GVOMnQR45zLsn0OPytfkaLNJYBWNWeWx2ePFEQY
OhC2y3AbsS6dzEC1aqHLm16+t4sgXftWnEFG8LDVtPM57cmzW8JUyGtDC+BRkuTZHt8SK1NGYESf
7+FzYhIfCSZ3av17Pi8e3JN1ESHwco5feKrHV3Fp5aV4SOillWl3MQZkzkdzWPxWvNpfV/Fojth0
OlA+RCfzaNLb9P2DKd1bpgdMQZex/AqUmuCkzAQ78JtjgVsCd7h8tZxo+N/jWyLNvA8NSY8b9WTz
tVKuCS0mpSj8+mVsJppfVqOnm0IlEzDkOTtxmDnZszWxP0QFCKK91kNs32tvljCf6CpTtiUYlIan
JqUCNFwgLpqODI2N4USJ2CjlJ83F2DqgSF1B/MK6bRNKANYExX0dedIhtww3WLjKDTqRK7rIprED
ilTWwH5ISdwIWKflVdz77Tmk4glZd7kpzDM8N3b3WCieFUDNsaJhAkh/j/sPKBHAKvXOqwfjs+Y8
9yeUMeFsBmyJw2Wl8mb+EcVT0131E2F3q8H1xa2alU2oxdgY9JUav8sxDzoy3lY0TOINQHHcZnmr
av8aomY4fzzzUpY57d9bhKffT5wyyjCKjozd0z5XR0eqisI821uD434KwxlZgCI6AXFBTm1vQyPY
jrY4zuxoL0WbaXI1+uGriCvP+uQn5Vjc5lZbfW1cIDBQvpwCmkgz6FVh5ljWais1yCqoszwhIgBj
+RrNJTEnc0bl9cqYSzN/V3aSU+Xr97V87Ke3hVWfliAlMXzGy1j8dX7rQpU2npntEyGLBrrBMAPu
pPEsmOX0XN/CNoBPziDJBiTbPGU0OaMZnfm0niad49+xfFIkgRKQuQQZnnxbtl3UnSBcd0/+Mcis
OuM7W0HXisvPcaJ0cNcpFctqlSY+53rCDSX1yK6anc3ULdI5r4ymt1mUgCumBubumiRPUCuF5sJu
Ber8Jz/dRIvSQFHYzSlJbDvTks77gOC04E1BuQrcu6j9x/+9lLiHEfzCfvba4nEEL/s5SHuUJmVR
4Odzvab+LYXcMrY4o1KPISALmShbg+OXUGRw8Iqwwc7vETq4Ak5br+c5tt5aWTLdSBm3Z/afT9rW
k8cNAiuk2Ix/ElvayWtv8tkNZG3m+7YPZbnGDjklaCwyOKfjzNf/yQ/S2N+5mbCTC5giY7jOrNz1
t06VBUS19LotDy6fw9fBHhbwwZCYYkOFu0rfJUFgaHQQKMjIwimS7z7uyRobg6yHQzfSQNsOKL+t
HfGCc/E4EY4R7NwkncMrOEnG3esD/NnuiI8PA1HAl0sWNWfu42fLPDOTIA66sBz86p5mcLppzaq4
p+Tub2agFmcW8hevt5RDl3eJS2pZ6H/5oIg+7VoxJ8U+N9P0VjU04BeGIpv3wfaaTaxz/e31O1w+
jeN3iXeIPSjrEpsU57R3QFbFGISlYD4EiAl5AuNSROBMkL1tJpdubGgBAzSFLvIzo+ika7GM28W1
xNpL4hRbz9MyoqbnUmXzkO9NEnDAkS9KgQ2zXkgbOylEC2gNZQsQOd+pd13uV3dtLGDlyHSUlwSG
+uIijDkvr5XKwq+vP5VnGyp+G5tu5jRWUOqBJ+898dSU5rbDbyNJ4laKSR8yIwgvbGVaZ9YG9/kL
YFHgDOCanBB4IsevHNX9wC7LLmiZhs1twCE2o6bhRv+s+v3ttvt4rqYlwgK0dGJsnJ2soN6yRP0y
tEhecBEGLtdh+an3bpTqLxAq6b2XXq/vpjgtMgK0ZrR1eeWUAQiooT/nBTge33/9CBRYy3kI/z5t
kuMfkSizjcKU1ZcMHr2ZzHHch7L33yEk9jQZNY5z5kW+dNdsjqn1sw1HYHuyMhBDvjgtVb6fi2iI
1lOzRCSngXtXQ96rtz4SpZVjNu4eOp3ctgRU3L4+kl66Y8rKi0HFQ0p/2pNqwIZlgTnl+7JNSQOz
BnnfQm35k5MYATmG31VnFsMXL4iEmModvrZn+mWJMJY4MSvfV0J3N0ZsWe/oi6WPrSjsL1ZSVW9f
v8GXnjDL/+J8NjmOhiefihSgi2YwvXudF7Ne2W0mdnFOmtBUjCyiedZ3bwM0PDD3g/id7sby8PoP
YCt09AktowqXEvUXj60IP+T0GdP383Oz8fO9p1txZ1rpTZgk0NmQ4kKsQnAd3SfODOZ+Xoj3CGXN
u9kWWUl7e0zTPallpnE5soqH9/UTNh99M7Li/gmn7zyh9as5MOMt1FeQ++yio3CXeAkQH9Vk0+NQ
xOqz24YDMr4RJv7O9OOoJggqz/6k3yzZ82fSGVZZqGMEzYYERzkElhrfJMBpHweRzdU6tsuo2Qh6
eC1luSjpmAWBFn4kWI4+gCAO3txMRh1HMCKkR3SKjZZpPTZz3OwKcndmzi+LEMjxJdnN/TT1chUF
QBXpMqYPIQZBmClWH9womTkdypI4Jd4MkbENS7hAk9jMbrOxk6rorlLXk9XO8wSM/1ZAEELaEGfu
ynJJ/LmInIHTktC+jIj/JIplpTPLN97MldFXF3Zs9OAJHZzUxFlk3bj1O+Ve9FQWAaFKR/crW5HD
Bjy/8z4qizCjH1FXwQtJGi3i/YCqS691OI+gx3wduRtJsFyzax3UHh8AJ/T1Te4BobxKJTlt67BF
hnhpoxeVaK2bety06BprsL9mBC6zQAC3EnVRN3s/jMM3gRFMHqLTeHqwRT/YVyhKguamTcoouy6s
OZtvCwtmH8lvhHasm8GO203sVYpHJj1QI3XeZuWOzpQLdbgWSl0E4GV/lBrF5MrxUk03tbZsda/t
qDB2wsjLeJeWyIwfWmjx88YiGPBHBrgW+aiji27D05+jS6Z/W6zyQSCozbUi4GjRF3+KEybjbZ4A
c1i7nVGLFXgJS6yV6IbgpnB8KtQkAEbJI/qtmYZAmjfOhryqJt1GuSnca5dQJXEjiUasSKMYQTdZ
bj1N8Ap025FEYmX1JlrKUNuOnYO4Ycs6f7GFa/5I2sKCs9hr8wehWOCFe2rScBJ1XLjblBY4Ev8o
I0woGqzS3xaGdolV4O+75+urySuAAcnuf/YY3j17132ULUI205nCu6ByItxzZe2AsTGoluau29xZ
skmnTe0b4Yc6MNJko2ZtqH1ahfCTLcMPkosmsLMU8GKAgqxq+wAbva5Gb5dnVvkZ6UprEoQW9CSA
NInxycJOR2ifChilYxyld31IyXs92UuxyzDrRvODp4B6Sew3lLz1kCGTFZhZZGtN4CMn4c1r6Jrt
Ve+0WOXNociA2iaimQn+kLIm2nAAyZ70U05/NxPyqmuC6IG4RPTBbQMw7tL3LW4wMc0uZ7MSk8Q8
TrWF8s3zPs0l1TZIsgrs17AUkQDVxv2N4/aVTzvAl+YqbPwankfts0n23DQlSMDzYaYtesWVipAA
rweiKE06Ezr9lhnSU2seqbwfcx+ksNmMwZIEi0ceHGJY3tnZ1HzJh+J7i4XbWBuGCf7AhP9MjF9W
YW+lw1S/dZVwHpwZM/kiyNYwL7ELrEIReZoXO0Q3decTuTmSMFmsVVrRoBg9tPcrKc3sOic1gl/u
1RNsxWlk1x+LeJw2dJnKB+IPibvjXdf84zLuPpYi8wAtl6GzLqWNpRRy98Q8i2wczbEi5nvOoi9h
2Xf3Vh6XdH46OcvLWFV5v5sBipecnUPk7JbX9RGUus6/HdyUYBwiJlM4dWY7XAdBYiDMR2kG2h1U
9w8o0wtREbnjj8AwCRhplqyRMGjQcsZJXr+rnsJI0khmt4QsElECJFZ9boouuiFA2/gxSLJMtOnp
G1Splb1GzU3YSfMUfMKWUX5HeEccCi06Lkmfvjl4HArlOnsKT0kTEr0IRoGfXrQ+XGmKtEStPC2O
v9XrfZWcxv7xa0OsGH0A+X/+Nkni/8N8CFqS7KjY/fx9q/fmsVSF+rU4/68/9M/avIOg2Vyiodwn
LfPPRq9NCxj/NaY36iMAttjz/Gz0khkFPohaHk4tNutPxs+flfkQTTWHNhMZFtpojo7Of16Z50eh
iqYFzTYOSdcihDjeK9tOD+k0N4PLruyt7TQV1qXWmcRENdogibxw+8uzuf3rzPdrHPXxmWe5Hu7c
5VfTqqbre9pVSka3IBIgGC7ZawhKotZ8Q6ez3UWTOrdnPN2jLpeid0G1ZilYc7Y+vjVcFmE5GsV4
aeHi3lUOjccqi3B5ObBRTA9i+uu39qx9zFGD84aNuIfGII/0ZJOqW6/r1JzalzIpmZZNmQw3McUb
/yK1VQlCiYRHsRpGYCjgSiNzF/cAEN86QYG3EcSz768jWMv9um6F3a2AsLnlDlBO5m0mAnWweg4Z
sYZkHrgY5dh/VbGjdmE9pel6jHT26FEu+tImkJbmSrIJ7OEux9SEIEOvQAxbb6NRL7mIypy/o9pC
0h4mof0hDStsVxULV3vRVNOEGJ1oTHstXcoyLJmF/gLqePQ/ZgoU9jYCEXxZlBn2GI2yPVk3neEW
KxVU0XDBSq01dkInvMncrJdrvwvSkmcRoQhM4LLfWm7qfU0Y+Vfg1eK17Tr1FeVUgx0DQVpbmRVh
h43MBqzaRh7Ay14I/7Juxnq+UMtgXseZWX0lnmrJhqIlgcYyIbNy7RGPSoiSnNx305iy8rYkcqXo
Ennpmw4V0bYUQwxJwGmNbWqAOVhaySIXqw7O8P/l7Lx25EaiLftFBOjJeE2mZ1bJtPwLIbW6g977
r5/FwgyukllTRF/0o9SKJBnmxD7bBLzC/ZQPIj86RiPPcaiI4vT2DFnfYpggXIoXazQaAYBoq8WG
HRIWMHNtXFPHGA/xSLLvAPT1PZl0eSRPIdtNotM+NUmE1d9obSnxH4wWXsbXXLYWgU6eDel+RQTo
vRbLUeOac5v9qRvJSMZIKeQZuihO9nxL1aNk6t4bdQGd1NBrPyzjEM65GZJ+HSj4aE0d/USPmGPi
Kd9+Oy8q2/9BiZa9AZbu0luCGAxW8UAEsXIYAVNoXuPaxVS5SlKc3JgXpJ3ByW7qYqd0Xf1UUFyd
LavQvij1FO5bJ8vgoBNMnViU++nHnrspNsxKsLG+l6+z+nliaUrZ8AeBQddbF8BwhjKpNK4FJag3
M5kvmV1Mt423sHyEh2FQ/WO/RUeIJsv9R9LLeUx17kHXUOqLXo+6E65iGLYfc2zNTDK6S+ea5bVd
nyD/9tzRksAYzmMy9L/0rRbZAwuAb4ISR+eQIqiSB1/28z8AHUuZYzEN/BqVkOhvCsgKJrVEtNke
zCC8as0ltXLsOhyYTSU1d2mIhMB3h56yKG9npvTG61k20fvXw+UbdAnXNQszvzWUWFapiUbCRCZH
ZuiwU2ph7Lih9d/qIi4mT0WmJrnmtvK9JkV7rQmh/WbWsqo3ZuvjQeagNgXTxMCMFb2eDWS+oPII
evPawVe/NNIMdiYK+UucoZ97+5nXpBNaDS5sK8Kplr6OWK8LwxqjurIt1kUEumTowbsqLT8Ps46u
pw8/NwpuYkVvbkzEx+kOB2zpJunLQa2Zy/H6x5fPASeH2JD2dcIb1IubKNj3XdRsOAo9vkYebeHJ
4wQHl1qssLqEwJJxAnW5AhBzmyoNeWoRgu9KgpU2XuNLU/J+6kCbgVEnMKUEmlz7JnA5zCpR1u61
bJF+7StlJryvpd3iGXlPEqxNKf6hLp3sX5mkBZ6jkFAFCX6TQvodkLnXlADUI7pDBLCO9kvoivwW
VVX2YSANk2AGN40/umGJJ7cemT420zdCtKIlJKHS/nKaaSALppodX60sIu96K3D+NlOQnzPUKrO5
cKFQ3/WJo084tTktJpG5GpFjE+vRx6grxw/FQKbPEdc2XR5StWg/uHUgOnaErsWlv5gctsUKEya3
KjPyVxon2zdSi4gE713zLEDptAPR7M2W6dsrO/fSdeRwW8jVxgO8PMYixKcBh3MdUB3v+LZvURe3
ZvmNIjb7lqgDbFYliawl81P2lkfs1q/OijsL9bIb7lU0x8MODqBN6rmqaEQl9UX/q+ly+fnttfRY
FHK66OricaxDb3koCsXQOpDUgmvu4JhG/IP1TiZLSqjWznuwzHTjyF91ypdDDe0ONEoEIaxg6Of3
y4iUkkDqgEtorZBM7CYkcEyXyIbqblbfqJ+akYKmdvWTaaUnrrlEReut0J875LPfM60X+67tx3+I
Oa/+SvQCWAJ2xPBr0MP21iCzOwEHzLVnlrjvcEDW/UWvE6XaWDwvlnmrxYO4U2BiBi8UPvaquCXp
E0tPyrRrLnvtUwJxH+lkVXwuLS08T9iDH9u2UPy5RS+dJCYJ75E7H0up2j9waO424NiHzYneArsv
4hcdQy7uMPdvtYX5xjGoRz6Mm8TTxqY7EV65ZYyD5nJ92tCWWVpXGGYsJKk1z8FprVjN3Ljy0XbJ
IyYkWuaFbtMht+h6zTmUg0EILa87DrHQmsxn0rjjlLMROmbV1M4//PvVb/rGsa+mY/CrzM0sPxaa
MT63jRT9NdVthbzUzg71HQRSZSLBxgUC6UwMWDxE48a5TEEvDu5SEpM2wmV0p1cDMTpxaIBzZQ6T
dpdRNOS7PgwQeSfdNI8HUMD6HyQ5ymcS7jrnlAhYATuME6rorxQzyG9KoLLabBy22kNSIXv11DTs
TDYIXXsGU+upl19M0KI8OLhBIr60UR+rgFVO1e2SuVavbdfz47N0SAePaoYtVW2i/aBgF7jHx0Ok
3zDbHT/HtVEjWHFd4GZQZdrYE7KPYgfPtRvJx9WSJXu+d3pPTopp4indXZRR1fD5r/viGKvx/E7t
ZdzttRoPiafYrJMfTaGBq9g9ERBePZORQE5TWPsZa5HUbKJ54Aq7OUSBZhD/zFiLDuyQejdhgg9G
4nVTPn8ZApXwliycCHPCZzgb0cz2dU/64Cw/9EqFTYBlR+VH4rCST1q2KPKnLBef5GS7P4NI4UmG
omOD7wiQ6g+SZCqJ9T4JxoJL9New0yZK54gIDCBU8UTwG29uJPoPoUYYfVeJZA7OIrHJCOtMY+4O
DTqg5HMTu/2XQQsS2+u7biz2ChqFg1K4au5hgULolJhmxQsKshn2zaxGT0NtKNUBoX6uPDmykgpX
P7pSO7ds7OSKBLld7moZILWl6C2wc6XKWzVMLi4REwapO+Kk5A+kxpG+p76XpCEpkWXg8DeQ8QMa
HrnXPHDq37LuHFBCA7sUJKwqqGeU6WN3wmJXRSk4hifiBBW0t/zj8S5wBSlFGQfnl6h08uAiasyX
jlyTE5eCvqjpVnR6Q0TcpGakLeRV3nmh3hcJOKY+mESFpNNnAwWt4mEDHcd7SjpEpTpJUb9kpUh1
N0q1fY9tLCEakTYZI6l9S5iMFM4nUcakEfU1FuWEkbhVDC2k4GwFC+0/6eS+cA+a1fDD2NjC2emw
ZyKSw+rmFhmE4XlmUUNAiqp0yW0WTbD8FXDEQz5itLCLuaP14AnG9FUBNScbmg7cuDw9MqhEUaPf
eLWbxzHTAHwnpcpvNlTZ/myjsnwPz0PXT3MRWNeEe/o3gNaCFY65YrlPTWC0cyhSecmhQTcIMS3j
2az6qfQqObtnqOXBz0rI6OMwOs538OrgEtVm8/Xtg/Kx8qfXhswAf3K6hAjrVpdFDPYnkjrz3Cek
G3w9rJQD9rLaTg+n+EBwWXhpFPebMpfhE80H6xDDGT+hXimPb/+Qh0uzZVGvgRRBXcUzwFxViJpd
Y549dJVvKTYs8hSUt56sv7iqMT+S/OCgKN41Vf6B59jo667YAxzey9imhXXBcm93reUY+qMGturY
7MpJrXyQJgK22kA/9tySrvCRbC9znZrgtajboQjsoLJi42NCc8N8JoNuYo3K3ojSbON1PB5JUCIB
/fQFUYQM9fLnf/wmA8hbzNhr+LURq0+Baxd7hOW1H+Xu/IF7sPqXrWpfNasoPxWxEh8TXt8Z/xPj
K7Fg6cZ17OFqwo+hMcoNyDDQTqwpDBFVatFkSktmje58TZOqRZcgJ1cgazCVPQy6lGBTMx7IzsnR
pG8M/1hdIcUE87EgikLJf7ielrgNKWZVdn6l9eVRi+lSDPBMjrhUhPRsMDbfR0psPinopc+K65a3
xhXDu8kso2eRJPERiEqwOw82FWDvTF5SL5E7tMmCjyhtwn1QgXYIqjbanEjbh1yKjQpxuc/fFVa8
P9rwcKsW2h7qnvs5NrlOnmEUlvuL4c+p7+hEJYMwvNmFWJVDd7yYeb3lsvtw7eJat6jroKOiasEg
+35Qbgl48kRJwU09Ds82+VJelmfpWZl1baN1/8rzwd7DQQmxN8D1WsMeEYk68P0KH4obiZ0V2G9n
5OYutyqV0D3boQpvnMPbm8arg0JOAEZyQdDXPq6qXuWBpKjxE0eDqlfYyg0su/f72Q4PbMFwMmsC
pd4e9EXaufqUsHkEvPkXPeGa/ZKEczCRFFH64aj6RLfd2OG7S2f22m4i32zfTgPnv5X2i1A2udSx
07I86bO62aAeDZmqWCMIDkI7nQ/a1EbfsgFTtLEiJadM7GmPGWiyL2pN7PK6jU8DsP67Ar6jouK9
MGhfuykgdW/pub/9ZI/LnDVmU/6biKtRE6zOgpBefmYkdon0g+Mfk43u2qptf0jqjuj21MD/rFOS
A0vL3rh3PBT6dEcW/xjXXK7t9pqrliYh1Wxq9D6NzW+x0SpHOVVbrKXHx8PCm66KBvduEdKvbhN2
PuoDnIEBT6NG88Jgdj8SAjiRrTh9d7QwJf6ZXHsO6E3K7gOahQUOigFuFhxXXGhWiz+Xph6MyjD6
0OBI4hxqvFpC9Da4G7GzYp/OrVSlNeCNeuGcAWL+ni038tsg0s6GVvV7N7eSSzdY/amYHcXPuCxd
7CKuiFZusM8akY5roSY3ltfjV1maRbSNHG2RlqwRqdHBiYULLz+7kolvTPC4K00dNnbGF/vy+/VE
doalL3sVglXIN/e7VFolEBjdcPbN2uGe20i4HX3bPccjHdl6NsuzE3XdUzNittlHGbGSuM1fkMuX
JyUihWIR83mWUU8X+PblxsxcBl/9OAAP9m36WSBYa0pSFAxJMBed7oPjZ7fMJa8VnkD1HnLwsMfY
zvDeXoOPIAtbGUac+LMuPt/munugWDImvDIz/DlLbb8iDBO6l72krXK3EUkR+E2eol0MZHnEWs06
di0xZSKEgpRPiXIeYT3Ay3Gy31MUtD716fe3f+HjoeJSIi0hC/gYQ3haHyr14JRx3Zq+Uze6N5dt
AX9pDJ/bFA7/20M9vHy29qWxhzqNoGp9fS/XI4wo+t6y/GTOfuCQ8JWAXncXFrWzm6Jqowx8eK5l
MAwv8DBASmSuBT6xdCuli3jnElPqg1ZZ+cUx1PJsQNt9evu5XnqEd7PqZSwgB0TawBvqaqe1etF2
06BYPrUM1phWYJ76ykZOEAXGWaf2301F0h5DRw6fnUqf9uTCiR3BFksauT4e1TQzrqZdpLfY6eud
SXmBL4gI3+VDFHu9Gkl8pLJ4Yy087Af8ahIfTI0Dh9m5PuNLCQ0i6PBcNg1zOqehZZ2RK2Ub+8HD
oQ6pE7TdWMoJMJm1Xgf6SjuObuYsG06662lR4cb0a9TVi9WK95kQX9/+GI+lNgMy2KJew9eM2ux+
/8mUCllVNTh+pPXPHf6ccTldsesCnbwJtTtGZnNIMkr8YhbPCIClVznYOv5vfgWlIccuUxA/oPtf
EYqBwC8It37gptalgG51LIOR0Ne0AmmiuDrTec38zJXlLs8ckpT0bNzTZifz2Om7j2//nFcWA6yF
JQoOuQzY/WpPjhMF2l5QOMtiWLJ8pXKG052Tw5UoG9/7taGWLg/EVsoPKNL3D46tZRgrOAH76Fra
KxakNufwNB7yIdA2JvAr+wlLFnSWy8RSCaxQWtwuHYh6vOO06EIymAP3vRoGwD0imT/WTmX9L8Zj
4+JKCvOf12jcP5qE00VCNFmfyRgm7wtnCJ8HUYd7GF84V9l4Ib791R5v86RRsmjoWy7nB2f2/YBp
UM5YfU3xrXHG4FrrTfOzzLrgQ2tZyrXgnVxIqw0PBHcROjW71jEyCv3ZSZJh45c8bhXUxtqyezOf
afauPmqm5VU/oMS8YUuveku7cA/atvW8j1OHUWheMQjl3EOBAjQHG0da8a0dm/GAZnL2ut7UTlwW
640Hegm9uN+yORL4bwmoACd+EbL8eSEPi0lPzSK5Vbk1n42OWjwW+JcZhY2fwVQHyDnqYjgouVKi
HTL+khVxIwSDyZtJHtA+CbL8W+zq8ZODi6HXB1jQYf42XgfZqSd4uB3ueVrxAzRiq/B93FHZ1zBT
wD9q8TRaDBr/xDe6zAlmhUjrW97Yhb2bYR96alOHByOM54NsUrfAnafbIiK89nWA0xedGp1larz7
YYNEV9Rea5MbyK/YkfoZ7TG4b3clOfeHtyf+1lCr6WYZdpjgSpDcgs4RuyB3U5iHYsK2vw3Pbw/1
uIcsL/N/nmr1Mgulwoc3nJObapXtDfWdTqh117zPQOe8WKrTxqO9tpLohZMTgdyL6mT1aLmDTWVt
MN4oO20n44FJpbRy/794KtSEnNcLJ22dlANmIuKCPJkb2L9CJ1Ocxta5aZH91NXtlujr1a8FosRt
jFs0LJD7iaHgdBQ3pZHchgi2rMj66RAEXXR1CVbeeHuvfi1IHKg96GkhLbgfqsC/IWO7TEB75+c0
jff4SVy7ULM8SEKV9/ZLfHWPYMfhEIe0R8aCfj9a10+ZkxdJcnOLChax3jgezZWbOSh0L0Ar3g0a
EaD4C2rnppmCz06EPW5gju5TZ8rsbNPwIZ150k443TYX/L3gZhdm/Zyr+Y/e7NtzHxvPc0+s2sbu
9toOAd1leUscVwjy7n94qVqJZmQpk7rBvHrCJfmDnQzBMQ8bDLxDpCbXvt28X77ycRakgeKLPh8A
32rUti56UDxW7dymzWFq6L0XY4lTmYPfZ0lDaqPSeGUpmVgc8GGAEjnsVpPBDl0bvTJLKRpGpA+F
GZ1Hmq4bU+6V2c0oC5sGlzrw21WRYUyYhMealtwww+sIbHTmq2oG7gHZh7M14ZYJtTqUaK3jeQiu
gDHvetmGhZmlMp3Sm1CU7MtURgqJ8Fkpf4U2cQ6LH/556kUxetjG1hi3KBNUP8ctsbjHDDb5N8fZ
UvOQv1XvNSfFiNY0ouJjbMPXLBRr/rerc/FcxK4go71QnH+t0ujeUbZr8/HtpfPaS4PIKdh6Fnej
F4zgj9N1RgvXKWnASxvm4Nkom8izWhiCw6B0v94e6rVZB3kBfwrmwgIF3c/1eFSqKFbd5DYp9ufE
iM5up+KrnVhXmfw/f6z/r1LulYXFdoARHdsBnLI18aUKwwzUPk9voe4WR0uL1Wdo88ohVmR/LeLh
pxaW/9dD5f875mvTnCxEgBT2WFbzaheymdwa7Mr0VmEquked0uPlG5kbJ8ZrX2xxLeUVAmu7axps
FQ5l1HZleotK43k0FeVEsum86yeZbCyo154HQs8LNrmw1JY//2NuFJaolaE305syJ8M+Ew4+R1k4
bszA16YFTlwqQiy4vdTQ96PgC48GyHLTWy7IhUBl4JyHHjtaZagnf9IyfeP9vfpUnHSQVBZe+Jql
6XDQlrpU0ptJYeQNfUOZDHK8sbFvjbKaC5QMRthhg3yb5qI4IjmvD2ZHV+vtJfXaKAtohRUqfgpY
B96/O0fyiGHJs7RVFEBSo9NvFzTB3x7l8QsJGkAcFi98eoqw+1GsqZ5hHqiJr9mxcYI48W/XTtER
Omn63HAt2ph2rwzHSYHaE6Dj5QvdD2cT2NYrcZ36rYADneJ8cKhrl+gJpU4PZHrXGy/xFRwCUy16
fihMX/amFSjk4mWjBvqc+n1Q15BdrTl610d16ZtyDJ7CvPhdytHZl1qUXSCV0Jo0Ev2E4mbwJwO+
ycbbXl7n/dkiqGUcCFQ2JliAn/fPH9ilCxDGz+nsEcipaqSxL1Qtxad7qO0cAWSRSU+mbfazVRA4
nMZG6KnnDqMEjS5F9rvOOwGnrgviS5dFYbALisSVXpsTE7CPRDEhx0Oic4CjHh/HQjB3XKM1a08b
qupca/b4tyHL4T1allB442jEJZMLv7CLUUXzV8RS+Ze8VGhnzZ3c9XaPoi2Ft3Ql56Wxj61CdMp+
jhPkROFYZdqudGfIrFVn1M+6nsrnwghmay9wbBv3GJSQVWHgwb6HXw9rvOnhBxyLMRgLYhHy6odd
D7DxrbK20UxUJRyhVOcAxSl6XnQAUGmUE+kQMtphJyL+4dZTxdDaVYMwObVSj+SV0t0nDh42StqP
zX+NEUNJQpcB3AyMDjB9Ddf3mchJPs1jvx9bczc5yNwSkW4C1MtGeDcvHCTkDuIq2nxchR6Sl8t2
TgwzHv1alNlhqrXGR6FHuYvDyK6XMJyM1C5Pem71fpJmeDNNc7ThtvOwNkFvlmqec5xbLfvB/dwM
myJn06FjL+DUXhTqiYW7RLcAPeTVsuC+vL0YHg67hY280JAXmyzsrVZbTydsRRs0UfvtIuGcXL5j
nAX6yVLxynt7qIe9lKHowkGXhR2OEnp1DhUFsUTzbNd+meo/Wysx9xAmt4KpHnsuyygQbhdeHW7g
61ZfkoVE/8xz7TcIWW9ziozOK2e2H87XAGmbDrePpCEg8b9IcbZZ0LOlQX/RMCIh8SVP9gNF7m+w
cYigUlfHn7Uy5Z/efhWPxAx+pYXbFk1JdPe8kPvPXGpxUzn21PhZVRTPmNEMB4DCfZP/1AZHP+pN
EXha2oUVa9qRp3x0039w4laOCRXZvqjkVsH9yrxjI2Q/hLcPP3LdcJ64pZt1MDc+PgBf+8Ts3gVd
88XCUf2qxuFWqvVy/7lfadyPAfQIQFPJe11rBIa5CUyFNDtfKWr7nBvxfJ3bCMlpGS+GWegEg8Yj
ciZBzivGFpW+O6tbp9Jy6tz/CJMVhoMc1HTaYO7ySv6ovtqutlQFCrxvppbT74PcHH4PaJm+YvRW
kCHTi/IvNBlae8SZZnrPtS16J5yWzkSUWV/enhCPF2yHH7MAflggkJa4hhURJpVxGwej3+DKHbMX
J8QxxFOekJPFsvm2tIYmb6bBa+ysqq/IBMDy5bNjz+m+sYqWgBukcsb7plTbT6VqVNoukBE0hTlJ
859qolrkaZuNrWJYFSZfDDePPPIxsm6jtnhoRdNmYIMmFwUQetEJ3b/U3LAnbRjtHnV833hGFv4b
Rq2DM0un78OaVF9TneXNNnjSt9/g45SCTsshYWGihYBtHZLInq6Xktwk39FvRKhEJP21xkVL4NjF
IXqXMi3UQ1Fpsz9uaQK1h7sQzCGKa+SHKv1kseZNAAgrtZpyKrRDBxRskXR/DCe4O2NQq191Nwov
Nn6TJ4MCAafVuFc+K7AVyOZVZm3vjm10TSF2BJdCuvWtHhDiklhLstEF4GrY2HsevxAdaYE0h2YM
B83aMrrrNLNJi2nyndhVlqI5sRtvyHoKQF0ZXLmnVUyUlEN6Y+XVEKT649tf6vHIIc4e9ICbPVA+
M+V+iojIHYZKa2ZfJn2xlx39P6JbJvJlyo1V9dpIHAPsslzkFsHp/UhyHrsRdEf188iyz0R+NAcW
hjxp5Whe3n6oxwYFo0AZYM4DkmGvsXoqbD/MnHgPzXdSK9grGnG/DiTdY48078mMWusEjys+Oclw
S3BMejK0Pn8eFC3cWICP64DfgWPbImagAftA+evSYJpbofpiaNxzVYfS72Xb75ui7yjuoS2TxVJd
ufsCfxW9urEMX30P+KkAei0b+0su0p+7qhNLbhaVpftJGFZ/IS6onqg/l+QtheBCPazK9liBj5HQ
Iku15PtTP+9tLRu+y6HQtqD6h9kOFMvdlyodFijx7+v6xsxDt8dpxc9yLThgMELEwND/FmUiPjnG
JPYWLu0fZA6x6b9OCEiFGqom2mOss4dO+NzhswIdfCRYRTPPWBfII6oS1bOsZN4r/eQcibBr3rWl
U+4poofL1GKtMjhqs7HgH+oudkN6FDC0SdpY+C73qwBVrAYXuTN9BazygGjla5pn0caifqxoEKNA
rUIaDT5DG3JV0Uh7Wty4Ypf5DyfxYBBiQ5qGOTcmdmep+8GIpvxHGQbBF9fsa7HDkzu4woRvjtpk
VR+0bhoFLaZSDTfOeZvHuzvmlx8mllcAmY7DdbUJFIRsK4Cjrj+aLnC8VNNbL+rmySpjtGGCMKD/
/OEpluCPLEJV1eLT37/vYcA7BvqO63fF/BuS0Tt3EFVBEcqKG+hK7uvZam6qGrm3quIGiV6BnGfN
qT68/UMevzt2ZcjtuDstYK22+h1q1VYEDOXC7/U8QXVtEx2YF1sB448fHqtxxqDUXror1prkJG38
srFf0f2yneyDVYa4ZKPn+oBoLvfSXDqYe2vlfjQHSaiGRmJim6Xq+x4p2C7pO+dziSP1f/4Gi8k8
34DFz6+D9nL/DdAO9EGQFZY/JWAaxaDrP1MCto4Wr+Hkqg30/SjubvBG650EKEeGo+1ahIrv3/4G
j3yYpV3ClRW22VLfrZH5ySr6sI9cw08Taf8O87E4lIKUasOq8gu+OeKE5194Ko1YO6hYjhwHu68o
DGzt4JJbGmpqcxFB1XvCKeJrGKPI6HJH+4K1YIi3ni0OjpzUjZnzWI3izICtG4ovaqnFIPX+9eGa
DXiEY4hPPkff7QxcwYKdmmTd8C7IO+cH77f9OcWZ+MiGTgRYiEFg+nJbQtygZMS7zNHSpcxsKf8e
61H/Z5ya9HerY5l6EZHTfUSeiQ8WPGHZoaRQa8BCzfj69st/bWou5ruInpe7INK++8dwaxzygKUs
3x3t4VBKPK+mJpnPmZK3e7e35dVxsVGwlCL1c8LY9i7G30fcVY3dkE399xJh6ts/6bX5AOl98d+k
/qLHvzqPRuBEqeuz7U9j6JyK0ZDv9Ukiw9QDQvTMEEX/jq8idqVOy6y08/nACYb3aawr35K6z56q
ctGv1dHkm1Vh3KK0in50ogqexrkBrFGcH3VsRRtVxUMlxclJVWFR3XCpBiO5f5NGnCRwJkvF12sl
ObVTnOwa8q+uUIy20MKHYhrfdmhCSOM4ruFArBCQzorcWgti4S9WjPR8cv0S143tyXrIjsBP6n4W
7aZ2f5nRd6fEYk+PoyT8uMXScE3IE1nXtLlTCZ+Pn6KEDjV8vGJilDvHPYV56x4rd2hIUJPF+0n0
+tFOttQaK4NW5BCLw8pSqWKwAOljzRfq2jYqJ0wkfEMdU88A+XyHS9D8PjbJIZbqgtVqPZqxIBwO
XTAUxBXo02mqma52nCkHxYoJZejHFFLd5Ozs3C3eNcQ/7IzBUXa0pNWrJeKUnoZhXBSbLiSWUdh6
ABXusOoC6BrJdojY6L2oUfv9MuSvt+f/Y3m4PCO8oZejGGLa6utiIINxkjUIH8ex8ms7j87ZiOrM
yzJCjtVRNs92MfwaTSs8Oj1Bwaia0muJ29ZGvf5wOL78Duh8uALATVszR7JqiKXWm8IPkkA/IPUz
DiIZt+J5Xh2FkxeAjXnzQMvSSE5q1MYSfgYCvhuUwNw1gsztt1/qQ4XDszBpDJi8i7h1jd2Mat9i
l6cIf9SDwuOi6e5bxbT3eqMrtCtA3P/7eFA7sTGEQYcp6fLUfwAnTjkKdAiQv5os1n6FgWp4VqCx
o+pCPOsybjbGe8T0eECMCtjGoSfBLV0dR8jeADgEi1OPEjkdCSESntuV8WekU3G5d7Akf1ebg/u1
KcxS4Glcqzh6EY6I0dqE3NUb8wG3ZWUgRY9Yt0xxdvi1ZD/ffi3LY6+2EIp9jaW7VJwcOvevZSoJ
1cTWSvg19hdekw3jQZ27zVyL5YRYD8NmZVA/8foBPe6HSadyBso3XR+5boC3Yh6bP1CVYmRYJjP8
iS5VyWKKcLf81Uyw6/kbdTPvw1HKKwc72gu9TIatVuajNwubNXdcal6wc7RAq7OW205BH51JWKJz
+rGwm5HadWP+DrMeYqFCcxA3o+lCDAlifZ73XWnaeJ7gXIdvgBFkp0wbWx3xgJt6UhKC+p8/DsaX
kK2xaGHirmFhXBFpwHaN8MUU5QczCMqDFIS0vD3KKyuRrZuCExAIUdnaSFUJnKHUa5f17vY54dbl
9yIgZFoziu/4521h9y+xj6upwHAcWEi5OLpevskfCxEaPG4IOLH4boMB0hSnNt5phjyHSfZDi4Kn
sm2mQ87B7fUGnByTy8Z/f14gfRAW4HZYSMv7+OMHYI0XAjbFgd/nNGYSUm5v8UBeUK70aEmzfEuz
oL0s9fUjL/cMaM0gtthN348oRxURTR6Ftwbzywblm2uW+EwEOJHKJDc+EBibor4lFazf2XhZ/asY
Tqlf+CzhV1uEpMlivJl+nVSnC1FcO9aBENu/Q8NuJLfwAJpEVquDvhMA8/out/GfY8oUJjQR2Snk
Izk8qNK5wxVT4DrZ1cGSw+omVncSItFOTqYqn2YM1xK8zhtZe+jHzL9FM2Kwh3pOo0k3yHHcOSSj
3qom05+wCR9/IkcZSAK2gvbCRYvuWtbnXbzPzTR399VUO7+qWXU/h9zjyTyPhvKvZApI9sXxD6Rc
h+vrgQnXg1e7ZVXxf+McvINXaoVeKrucxp2Z9n+5YYcLYlW32IYo0vQI98PX3e0miXeEU4V7I3Yk
VzUMx1JvHtpa3ZOSEU/eBEfmW0lrZfQaJY4+1CCs+CSKTkRe2E/WxzqfB9urQhnjnzrmf0tUi/nO
DfNvQ1acRUymUZFqxXdRNeMlsBL3/VQU8oeTSXhhimaBb894AVhK9LfdWdO/ToWpuQoHvN/JkO94
wDw2+DCURv41JHLXq4Qtux1gHAeehqPuhJ0OIb1eDkkDY/fU0D69PdNfuUvQKaazxAbPRe4hypZi
HvJQydIO4iTDBqCJyXE3wz2ZJRYqJvwTDDRkvC/N19QS1VwXdYfENeb3U5Arz1nRKlvH4isHDuwK
fgoMc4szZ7UWkqEyXQIwFR/n1eTIvC3wVtVw+eyGZv5gZKb9JbcdZS8CdfjedbhKYe+W/p2Wknaz
LiUbUtO62NO2UbQFA76yE4K6IWqFCEKjfU1pqKpyCLW6lzeUqNXHrOqDaK/G6vwupfEvMWwQLNBQ
o3jYjRnq9H3c27b0dLqu7U6NLaP18iYopNckrn5oOC2kp6DSFJ6idcl/zSmm8gYnQRGwpCOA2q2O
biw6nR7pceDb5EB/Qc1vHhxiMPZqZsnj2xPplY8Go1tjIABjuIErVGZMbLs22bD8YTLlIQpH+jBm
M22M8trRAJd7aYhQ3QL6rZ5IiIreV6MFPma18wd11vNLLsQpDmVxXPaWoz4UWNOpXf5Jw8T0WGLj
sXEYLif+/VbNlZHHxOUK7QdVwf1WndJ9wmAlkzcsj+2Dk+mYVGSuve9HVgYyn/CCTWzluzF6s1Qd
i/N/fdHY5OD7BWuAIhVnn/vhqSxEWuCTf9O433uirSWlcbVFFnu8rUJOXDy00CFTf6/BPiyB7LoP
bXljVmuXBtXTCda5s8fTaMBwIZuIq2+b/ypJZkVhYYNYiUdUecn3j0bcgmyg3sO/T2avsNu/rUlp
vKhoLzYI6t5VNlRdj4uZ8Wja4J9GpcFN4368yE1ZqEES3ij/lFObW+1VptFyRdXNL0APW7L418Zj
cXDHWJDLB480mRTKXNWVvFmt0+yUefwWV9rvwFb7HXKIfgOpf8HgVhOVghXNH+IvENN1GTU6CBPL
OlB8dEoEwWDB/R0zNvdjHnHrOto4Pqm7ruuTbqfapdZ7kZF06lG2bnSaWjajaxNgtRgOhAN4eWQ0
XzG8yXaDdDL08MEo1F2f6+NCIcO+Hxffnmx5BQvPrqnf13UcXrrSHX+yK48fMcQrPgd04rV9S4As
QsyidRWvHhTyY9O2C5HEDRU1vYDkvfEeHjEe0D7amBxz4LkPnRs7S7CLbirbd4xg8K2o/x13lnON
9HTjovSCPK9e+OJCiC0Jkwrx0GppToKzmvwl2y/IvNk5k6H8CF3D3ZXYIIVpqlxkLUAtFL3BRLAp
PrZmI48iW24x/4ezM1tuG0nT9q109Dl6sC8R030AkBQpUbYk7z5BqLxg35HIBK5+Hrjr/6dIMcRx
R9SJy0sKQC5fvt+7EHdxQDdfbqe+wDUBmkrUsQJv0MlnkVEb1wDcCxspPY01YgvMArnPC+5Rr2OU
hF/gnZ/oRwkmEVWjDwpXip78zEFE2QhQmJft7VIuzb1v5M3vGtlBSiI8CMIIDVs+0Rlk4ttV4SqM
9+8qaWS7fHR1dCBBcOXrX3pQz6YiXIkp0KzOIb6FRu9EmI+PUn3wj1n8TieKoZ4lFkTU4/d+BS2h
7YR4C1raH2ZlXYu8e3kycpdBkbf2LBBhnsMKHbaRvGvXAxqdia+q6+G2tfxrJ+PFUQBfOXnXuAn/
7GDscghvtUr9u1bkMINmWRNpZcdXzr4LOxgwGYAPfQNE1vbZDj1YsB2prby7JpNf8cx7VG3MPYUl
H1odtku/fdRRUgRsmRwMAANnhWCat7mzJJN/h02vvxdNbm1bzbnqD8wuf7ZqUW/S3F45FiQwm6en
QDsR1wrzz7+LEY1Lity7QBnvZ4cDBwRmZWI7WJw78koL5ULlDaSyCkfXB2SPPhuXVN3EbTTTv4Nd
4X4iqbD+aOkwzzd4WI6H2vFEsrH6Qn6mnYLzGHesvCGcaoRprxua2vkdJvehB8vz63/w2qlxUZ6B
xQDFnL4Q2fj1WAoylVJNM4ATkjlCuexfqWMubMsA7rz1VU3CPf98KvWpR36G69/ZUz6FGpq8m5Im
TOgt8tp1/kLFBsIGL43OxNowXtfOX67zeWyplitWcIdB7D1/xnuofH28a9DnhrHomiO7rBlibjtv
PYxXtq+/zos7EGAptzYis1iiZ+9TmLN0yrIFzkAVdicMci46K8kiGNfdvlmMAadm//sAL+tYEAkT
paIdb17/GS6tW/xQAVN+9YvP6ZfZYDSGUtK/c/282nqx0O4laTjbSadPqUT39PpwlzYjQg5hCsD+
p+9wthlJtGFxGrNwl0nK1cPRi4al9Te/Pwr9UCjmRM/QWzi7cnS42kunZ57iMyhvtRqdLMrka/X2
xc8XsNuxTDk+XsyeBPckzPoVO+vEchiTRGIEjppBnzIrhDR1n3dkhShPr/ektVS3aaby/+DzsURW
7wEys2jCn07g1uwCkA+2ipxKdm+N5rdJF8v9rGPqQGSdtXv9xf4qtM+2RABPCLS/+v0v0uhTX3Pa
eNHpZnR+87Np2vQLP1b5QN6EZYTLAuBMTJUnqjd93xg4X2oWdt9m1y0aGJWWP5h6a32cjUkEmyVN
FD47RVG+D4hY+JjYzvy5RQTzGWL1/GC7Y/IlEJ7zFSG/9Yg7yieaAuauinPie4ZAtjexZnpQKJF1
TEih3OqtHtTgrW2tiioSRbl4WxaR8TmHOijpvdvmW6U3QGS234CWZRXosVFU9rVt8mVvDWkxFxaS
n4liwwTt9Kt4CUoxEa93UUf0Y9gMs/5R5pqzNcklwxbd7DfLLwq8Ywzdu7JU5GPwjBDdcfwrm5tK
VroJyq+JAqfbOi92PfnglM12K6d71xzlo97r+kdbNL61aRfCuiYvcq0p80L00yaxOHLCatJOlXI3
icTscu/3PcQAS9r1U1MWw1uw0eWzjsZnbwxVi0EciFZLZBCWBQSjuPpuHhfzI5E+sO/Hum9g6yCA
D+1SK3++PqkuIOkwJ9kFuXLRiKPRfvq6zNSrizxhw89G33ywzMm4F2ZihN6aq0hICkctBnyHBOev
yHDSZNtm0j9g40AQDJeQsG8S74Gcnd82yQD14q4LQMJdl3bM2UGka7a3tPR+7vwmW8IgR1tNI+Za
5fSSTLn6T9GHhb2GVTT36tPHLwqnhzGAhtYbK/3YWVOxT2sHlutYuJtqJI7SDaTxqLy5vE2G2cHj
QLm3iZ6UUexq7ZvYwJUqr7P2YdAC4+tgOMleG8f8CsL18limEtIhD+AIhrDl3JDA86p+qVWCqmoA
dyRvifxiggRC1dbXREgvMQaOWjZUuFUoFBDSnL4RXauTCky6Oua2laLSmYctVGFx8KEPABGPxk72
srhSdrw8miBoo0Sgn8hHp+I7HTRJYjsgGhZ1dqkwhKbNgEF9c406+/K8xVON1gGtQTCqFzydxph1
sn9SsueLbA6N3r6ZSfaJVBXvNF95V+rkS6NBjsStCk4ODIOzFykp+ZvAxFtmMgqB2StGe2Zt4H9o
oIGpnH73+kr+dTM7PR5w/YIa7DObWTPnH65Q3H+7TFZHf7Cww7YIDGzojbTtQ2sUSgtj5KoPnVV2
+7jJ0Tmx6NGyqSGHGtO2eR1BYYJ54Mqmvy+64VDKxpGhzBGqhGnZaW+K3MWTe3G6Hlg8t58H2Lb+
VurNUG7dpY/xACdm9s1UIhAPkeVxBGEBLv9odAsFtkT1BTAWk3jbTLOkTbosGnBZ89gkpvZen0fi
J8qA2I9wIWLi00xlRAKpFMOz3dKDCXNDeO8dgyN3gzonwGZmcOcbe+mMZ2cJ+ucxLgOswByrvZ8x
06+3FHdzv+kaWejbshROGhZNi++vzUSgJZuIJ9G7BqIHOZs9kUA8dGR1avmesN6mcJlG/8HVPI+0
D7Ob3gvb5qhraOg0YasvIzFcDQLK3y6fKGdMLnJcfkieOEcAlEZekS3c6khrMY0MayFSq6mWK9Xv
hUVOHYGvO18IEMo663EbcPVaASnsmABzv09Sr4gqs+zuREZSLYKJ7Dja2TVF94VFvlIi+Q8wei3a
The5GSgK+k7URz3BmQnZeL51Rn25suwubJWU9NjfEZyDJ/85EAzdKyhh/NbHGTenHSZ52bYWNqb0
Iv0P9pNVpL2Kf7BOQWRz+kCaRr7uhLb7mGYxiVGi25emkEebftJNiwLqyke79P4cqAlY39EUgtd1
OlxaB5WWalZ9bPJe7Hqy83Y2rtBXJuC6LZ1tI2AJ/zvKOnX+ci2jlUI0RKV4KDQ625hFeisktLyB
eMQbII5hi5l0ussWLfkPvhwoM6gXNj/cCs+O/CGr4QEFHvNjGJ/IbhPbYExSBItT8tuACco+Bz05
F1ww7XPRdUH8x5xCrjqqSgQRiTkl4n09i1RqxjBznGs6sUtz8q/jnR1vPc4Z3SAYr7Xc7L3MiL/w
SRg8yqIYf/8kBbkDUwUI4jA9r+cSQh5hwBbN0dJycpKwwY5cLfOvXH0uTUUGgHq8WsnS9DibJNOU
uxCmmmNZujFUMM/e9mMd//6EYBbwGHwh2mXnBAdwoTTraqM+VnRtw9LS5L7y+6cu1srfr69WbRys
bQOqEQ2c0+eJU3/0nUGvj5Nbfjdyz9xzV5KhZxXOlUV8oSo4Gelsz0gN4MZR+GxPSdm8SaZBI2jJ
a2icW2S2F8K/EkV+4aLMHqdzSYXNBKx93m3EE5DAO6HVx5xM5h3Tbj5yWe6j2sO+iOpX7MgtcR4a
T2+iyvG+tmTGfrtSmrzcUn5J8yHDwHrEoOz07dJyyaA+u+3R9MvpJoOsu/PkYu1UXvU3bYdJ6uvj
XdjCwHbxS1rPUKbo2RYG+BbkQZd2x9VagdBJZbzVhB6HFfUL/IbCiMwqc46lj+f46yNfgA9h96Fq
pHdPq4G439NHbZrOS/xp7I52aaVvYxyQ79TcYHLuE0ZY0K/fmaSZhK4Doli0k/NHZSXLMW8hJhde
Vx1sr8iubHYvcTabQG8qUeb3iqaapz9S2YAc97Nbs9uoB+IN7txefy7a5i438luSSYnBnOd3le5/
fP1dXNgj6CUw90CDVoHQ2ZryB21WeTw0R6DW6lM3i+wBh+/6ynr61fM8Pa+ol6AHUsXQIHt53ruL
LFP2iWPXZJa/nSxBKeiD7YVmvdDkb9HXq61B+GMV5VrTZYCLmSDy3mQ+tq3+R2503h+pRdcnhPKR
2vfCCUoZjjZKpsgf6QpuVMLVN8LpTRs3snTMbDOg8AHg0KxtD2XqC/K/IpIQM8odhmTgwqSRuvpt
nFrFtxiNypvCLCCTTGOVhFCECitcYmy9wtSxqk9u5aaPwSSmj3hKdd9ivS9sghe07m5ZjOreE6p7
jJ3W2xE2Ie4lMNBtgXBcMosN57mAmEUmj4iXPuwHeOSFUQ0/dUfByZlBWL8FHVkfYWe5soy47TcI
gOp8MSJdDtynJQvjK0yfyg11f05+eJPCM77xyN/YJEzGBgQCv1jYWG+mIKmbcOo0/b0Y9RQrY1t7
4m2Qjm4NeUZkcJtOGzfOzc+lmZI01SAZ+GaS0fKF2r/6AX3K/fK7c4yPDykUb/eV4X7eRkrLpR9J
zmuOKbmA23GKxy2+6caVVf3y+D4d5WwFadkoYcaUzXEukR94wh0jbhPFjuSW5srW9XLRMBT2jSvH
Fj1XcLZoOqXwOkTAc2zjREOtYVlRi23tlQe6wHHFTpB74kqeRCF/HlQmbJFmblp1+ASVX2Badvd2
tWB2Wnb+u3isMo70Kb9JlDXtl743No6eu0RAkdhMPmF/Y6WdezBbkpOrKciv9P9f7lfQQilfOCbB
OihhTvcrRcMsdnoWdFx0BhQzBRFeSdJ6ba0XBzIx8ttBt9pPlXRqUkrEcKUD+vL0YHxAIfiutFvY
xU/HJ404m0bQlaOdjv73ujT+cGW+vFl6x8Sx1EA6p+N45dDGu/JVfvm7nG9lwBOrfTf1N3va6che
kBaWNvbdcSKHu2dzqJwF83NMMCCFYMagfALrd0Si9J9dCL/lRhdd7d6QJJfcpr2XVGE9ARGSxKzr
YNFoC/BS1Jr3Tuxnn8iadD47Arl5aLqKvaf1pvHg110eoJlzF7VRS59+KdF3w3fuqESw9xemtaGF
O9245ZiCGMQ7pVf1J5H76n5MxloPyS+wjwsuMvrGtck5CkmzcvxduqDDI6eltYvbxejrL3rb93tO
zYIre5Z1ZkSP2X2CClXIyLGW9s4ZSaAMbT9z7JsxcUn9bDigxEbWLfEtSWt4c+iIzCSQPXYHJN8G
qTCRdOg3hBj5yXqrBC35DZw/9dNsLfUWILu1w6lfeVzCK9xrZYbL5zj7XL802GtkKpfo8ziHYrWd
DpyFiZJl7dbsAm1bBGhVIKLJjcejXdkbXl7aV4n7Sg4A3lnJRqfTo0nTwR1buzsCuau7cpiafT9Y
E23l1dzaM/MbkfXB5vUd9kL9iFeQQ39slWjBx1nfwl/ug15ippACVHdcS7Ynt6DVUM9ievRdDgOg
m3avDIIlCSOSmJ+15gRY68xXqtgL2yLPzaUQUHjVAJztCVnnj26LZQNCxmWIDNZn5KXxNdr25Wf1
EGjAOoJHdg46BwCPuAbo3VHRbH1y7MmnLpfTgau93LAxE1hOuXbvKKW2RV34N/Ysnl5/3xfOmhX9
8SiTf0GHZ7uPJZfCyDJ+BKdUZjjppWAZ+t/tSl5jQPxSI5/PX6z1uBkwjXFsPjvW6qBTcUPUz3FO
24bsWQhSb0dwGz2kv9Ev0TBB99wWbaYXmxgAPVpyvbvJ4nL6rpklagBVzekVstnFx4dewPnHD0Tq
8elsA/PNc93UuuOiy3i7JM4nQpWSN0awOFfK4ouPT+fZ40tTGdMsOh0qQCAPlbXtjxPE3+ymrUh8
QZ1nF29wYBsIUzUsGZZDNhAY1hIgHg5p/ti6cA62Hj+8v9Uouq+R0X5NsfOPwlJbVxqiXtCl05+q
MBYXrZvHT2VO9dfVvaDfFp6TfDZ7gyT0stIfcmcqmtDKdNgxORt+qCWNUYSt1qlui8+/uHdQRd5M
i5Dw8bX6aynmEnEXwQNwMGN0KiNA9H+wOeGKSxGmE3VAEvfpz92bRpNOQ9kf8bexd5lw/Y3WGDVu
wq2xS4eEcLAl6w+vL5YL7ZvVXgIkEzkdXRznbLqMWdM2TaD6YzyV8p7EHvvLYOXdp1U2EfVdTGvS
DeYbt1tdEsaJz6rj8cVsVtgEuw05X27eHjy/mzcV0B2Bk6Z2xCDHurJ/XVCicUFBXgi1avWHOOdV
9Cu/QDhOfwyytLhtB6cKdUdL9lPljR8SLFZwZ7ffDS2BFPGQu+GcBmJXSyyuXn9jF84svJ5gkayb
HJSks/rSxeMLjerQrYb3kDit7I8grQvyuIoMsN69UkpdGg14aLXTAnCj0DydFE6cSI55TshGs7rH
tOgEKRMkmQOiy0jYSuxff7oLx8R6MkI8WF1Dkf2djtfmlTWbks2zkB3SH9LNQlVP9vb1US4UqDg1
chBDHqN6PheIVWVmSDgOnMOUSe8GMt62aAmdN1mxqFsUGWirl2qKbH1aNq0urzmaXKhPT4Y/2yEW
iF4BgcbdcWyMknZM+kig27sF8RNio3vouj+7wHn8/Ufmkr12CvC2wLr79MWKrOaFel53DCrY6g34
6a0wO+cYp315s8TjGA5cOPfKXaZdkDrG7yOBIOwcB5AikUMgDT4d37DirCYvGLuaoGmjuB1pZ3Vr
q2JGR/L6o156vZzAa6eQ3RcE6XQoLZu1PlZVfzQCbdmPDbZ7oa/L+RjERXao2pmIwNwct5UeX+O8
XSjwaO4iWAXxBLI5v5V5sePFuUqHYz17yV4Ug7FLbDnuhGmLoz0N3d6V1TXO6eVBafaCiGNEek60
k1WRBHYZ98eaPuih75YJJV1sH4TW9puspv4om6tN5gukXBru7L2rwAWp6rligPDBHHJwMxx7c+Ay
4FfW+BbDtPYQEN9MmpdDJo/K1R67xHovdflHCTHqBgLDe8ct600+aPZtMtXOrfTd4millrYBccjf
+U49XykULpQkMMTW+NvVnIDq83RC5AniTXCu4TjV7idAOrWhSPIjQiCvcW8vbCw2ZsdQHujAwHk8
W9nxtJS9lMZwpHVqPPZpm4WZpSdfyc5pb+vUyB/mcippkqbyNhmb5Ob1mX9hJtCFhwOChTUL7dwm
zu4mai67GY8ihRuUxNO8m9qiDfWm1YCLXQzNTfw2Xh/0AmIKqgWlYYUnMS0+f2gzkBVbNK/XRVJG
KKZRknPQuySeEV9FfFgeDX25bMoiG2+hQHBQj+W8MUtUJWMl8JHCcvbP3PT/OvH+Hf713/z6W9MS
EZmk49kv//W2/VG/G/sfP8b75/a/17/6///o6V/81332rW+G5ud4/qdO/hL//p/jb57H55NfbOsx
G+dH8aOfn34Mohx/DZD8aNY/+X/9zb/9+PWvvJ/bH//8+/P3Kqs3WN/02bfx73/+1uH7P/8OqoRu
Vmfm/ddfB/nzT7x5rvjLEf9S/1z+7Z0on+WPIbv89388DyP/nmn/gz1j1ZsjL6IXyurh76y/YwT/
oE+5mtKsYnHaen//G4L7MeW3/gG1hMX/C15hs1sbp0Mj1t/SrH+s0VWU5Gu8CIc4Zfn/+0Ef/l0n
//tD8Xb+/PXfalE9NOz/wz//frp2V0skTmgQNS7LkK+BoU/XLhfmwAFNmg5yNswNbSZBpvSAP/ri
FFe2ibP7xL/H4tCAuk8TyQeRPB2LOHPTSIZuPKQiUfe2MVc3WUfly4h6fgRSJrTUcPA3iU0sWMgK
PQIXe89k1hHqF9sU53/5aBee/bQY+vfPQy/CXnFxD0bvWUXeFJ2lnK7qDzWf+wuGw5Bpg7H4LQvR
f4/CxRBxLAczJe76Bf4CD+iovtA+JQN35LTYdKmC5aFcS7u1x4KGYGx59efXn+vCN4VPj11HEOA4
9sKsfYkzLx3SAexKM8a32O6Uu9kaii9Iz37PXHp9uF9ijBWQ4xFRCJ0+HPRqwpq1Ce+cvC6If8ZV
7GnApfP97z4R5z13XUJTf+Vnn82cuYR3ZjYLw4yuHdHWGraZEPMmW/JrDmWnFTlPBLTBk2DZRpeK
hzr7XPPid3YxNAsZb7ILufgmYZFbBVy+pb8NpubL6092Ogcx3ORGuEZKroaX6FnOycDBrEZj0Y3p
kA8BYc8QUgkXxs7/9VHOSzZGWR1jOAzo3wJrrwfbX+ZgrzyrGhxvPLANJD+9zKq4yZld0mEMZONJ
YE3KTDZDbAaPRt3Y18zBXw5PYWDx9dgGUcefeyRMQywafFDkwV6a+aduTe12TOvlTsfufD+7eN9F
XZE7Hw2ZXQt9evl+16Hx4cDxDazxnBIyNlWew9aRBz2Q3oYzcT6YuXXNdet0xa1fkVEwcYRSY64u
Y2vd8pf3mxZpb47VJElONsi9QYBytLpW3wYD7NfXP+WloRAFsWmvOU/+ucrY8CmwZadJuguWHepK
9dvZz7yoJ7p39/pQL+Jw18eC/8G8pFfM0jsrt7pYbwq9zdWBtJkRiSqC+nnqvG1eDs0eUb/ay7ov
NvDj7B2kQnuHt3W7MUkAp9dHyzFCIkFyX+Mm/lYve3M/TbJ9MjzhkDgt+o/5NAdhLkbvJg2q/ptO
yXaFtvCij7M+AhRn6idWwEr5OP0yaOYh2M3ZfCjTGUjHQ/5sR3pO2nvIoZzJMEMr+y7Ps6Hflfpc
PeeebPOoKO3h2RRj0EdIK5Z9l3papLleb0UBAex/llMn1dRfT+FLs9THgJcEK2SWfNzTn9IaM3Ok
kzAdfLsrbpElZXsNX7HD69/z4igUkjBFiB+g5DgdZVa1Saoeo2j4u28bAsmpEsd3rw/yCyD5Kz63
vnHkcfp6WwLfPwdNvSKQOB0xSuqlywi/ErveXeWX4z2KUfzLK24y/QazyvgDM8UWIb82Hpwcr6Uo
x7c1DmfXRTZbeok27NzcDMivIm86CWNCXFJMyszsbWP1wecgGPMnSIg5jR8A6DvhxO64xUd9fJwn
s7zyYJfeHjgo0NTK0aCnevr2Fi3jYFjfHitNPqWGO/xA0Jxd+UYv7n28PvYRtisyAslb8c626mUg
pTRtOol1iJmSUz/SxoJjGpQ3Q95ie28YccPvJYkbafgqbFq6x3XkFa0klh5UR0Ud/lTf9FkT31Ji
j+CcesNy9J2e4AfTorgOsd0wr1mBXHg7XPwopqiS2ATPqWlG3ikPy2h5iAnF2hUulukl0oft65Pr
BUq4vh1IK/DdEV9i7HP2dpIc7/6KjefQIagYwlmQLAZbVp+Pqi8J/9KkVhqR6whT3wyL39Rbq9Kt
g4eJCMrWCkvYK0XtpedmKVHdky+EZ8FZAVTEBCnMcaEOXtCPd3VRPgZwdq6AoxcGcYHSVoNeA9rO
+fFSWyYwYc5Tl8Pc7fzUqLadxhnz+st9eUpTzlGMsNeDc/BEpxM8VrNVJs28HJwpqLhY48354MfS
y2EtG7GzzQxV7AXcuo2fm+731wd/cayR8ALQAfkGQzKTyK7Twe1qslQBUfxg1BN2xz4RPdtsNu3b
eMyzK/3zXxS/ky2KwRBErRcyhIwkDJwORtkNqpxY3gEJVPuTXqtd3+iZoxF/yg2fPrrRV/veK6B8
gJU71W1lYr8SAicWH8XclntVW2IM/d5Aij741vhUjUnXbrrEKb6kiJC6jTe17YcBn58jNQkNo6KL
+dcW32ryaHRadHNZ2rrRPBXtB8w4CF3uG9ZqVxXpU9b2AWaM9FXajZZrE1Y+ojbf10T7qFAfFiPe
zGtzLSotk2wxDGzktyZxkq+ZsJIv0yIzf2PS4fg+iiXpd8o3aYYGZfnJSp2yRQmfDbiQKJrTG4yQ
E3xeKW7eZEglSMNKY/UjUJ0rorzDpiJ004FOgU3bJ3vjWGgAHcJy201lyEGGTQB1/X7JnOJHCi32
R5qONnc1S5p42bE73WjLnFqR16QmtH7dEe0+b1XshoGNVrAwKMxCfXTKQ1VlWRF1+mRKrIkT743m
28OXkjAZuZE6Vp1ZB/Nj07IF7UXskteq0jT4Hvfa0oRaFsz3vZ/Of9iGtFQIQYey4/X5uW4s51Nm
vePYCOqghZyDgJUQMs0zyzloo/7BsuHg49Z8Ax6XciwVduS111o3L5Yjk5SjxubGY0M3Pl8RTub4
nG2dezDIHznUywLRvSt1cUvvM7tL+nxCUKsl5R3f2C2vlH4vdhy2MtzM6EvQ2saq86wgyWzZl7My
lkPp4NKbtbhLjFX87fV3enrVompmEG4FaDJ+HXTn8kDOUUTuc6sftCb1IkHYNiys1hzx0Ui7Bx2d
/ZUd7tJTAaVSikIQ5+Z6tu5VYActwdr6IQ6W+o1N1HE0xL555Qi/OIrPIchWiOPtuRRJpkVQ4TGs
H/ypmB6Im9E/INsvr9wDLo2y5givuSS4N56XI8OSpI1VFMYhtcxun+v1Eg7xco0aCTDzYuLTqvWw
+VvblmCuZxszMbfSg+KnHaweKGBTwrZ5WurWRdyB/G7eC6/VUTkGFWdtO+RWvLHMPv8BJQ9VTAsR
oDuIkakU5hPuWFBWHHREic2eFLnCxidtKerxsydnshD0olANXl8V7lymAj8OC4lMcjPPjXoOJHrK
0FF6/HFxyiKOeuz8pl2ekoDw1hw4P0MrJTVzg8hy3o+libm3SCrji1YYQbNRMta17WAq2iOlWbYz
++bc8f9zbGnD1I1lvwumwv+cjrn+bmywdIiksVjmJvNWlmQyeUkd6iCvcThauMFG+uhZ3wphBx/Q
ORC86LuTBm3dK8ZjJxLENJPIiuepSY0u0piScWQtrsqjjCi9Oap9xU9sTlX/ofGQkoR9MgRjqJRR
vK1nLX9nGq32ThPsDiG0ZV3euJm0/Gj0EoT9BTJWO7QQ/8yHtRtOcdxJc9nUiWo+dIU3zLduh+Ap
bJvK2CzkHNSRDaRWAVPr9hyNiCzFZup62gJJ7ntfh6k3KxRQgz6Hmh33+Vuvm4aDaSU9xoHdECx7
s2zwuqjJKw8DxO5JNFcaZ6OKs6wJs8pUuIVY0v/cEZaF5pNW11PWO91jpuzOCjNIPw0O5HpWvR3S
iX0zTxtcitHPkfekLOF+SWKp0n0Xj0Te2ra0n6BUlV+r0hufmyHO5mjqrbm8MQodImiZdMXGGG2x
7LzU8DWas4CL4eBZGtQEzcNJLQucIY90ZTSPaoE3FU7Okn/sDcwJQodohym01Tw7YTYEzcdOmxJj
MxNBmKL8luUYdnWavM3HZdF3gamVz4Mzl/G9kZReuoWU5ecbT+urt0EZBGoDfLp8mlMCNuaJVKkw
nmJTkomnxtseP5tPE/l2Zji6o/+FxOL5Uxrn9ufF1fL3htc4bcgaEQQk0lJtIiudYIHjEpt9btPB
q6NxcAzORZFOxYbDV8hoRp21HPGXiAt6Pr3owxh8peINwT8I+zTjHF3MpkGzlnrBsAtKP0O9USRO
FpYL2SYhvWiO6rHDhX0HNUB+q/j77+zc9t7FDPTNSfliISrlCe2fDAxt57TJzArwAvE5XmrsHOh/
NB8LH+CeaGQNI3US0u4y4uXhDyx2kW9sM61gaNQNJ9Vs6XNUkPU1Rmy+2EDhfkdKamEOn1TtzMdM
r4d0M7eVX6zmunm3zfSWAmiapoLP2s1Gvy0Dzc53nM5DEmE9Guc39YpJfrc7pX9aRJvycGmhvhA5
1HyotJ5lWxGqUW/oA2M2PokSs1JogHhwjjCXumr2791Wmyk3q7gOC11LUfrpgraScCfdv/Hq2DlS
GYrIpvX0qA9yKODLSRMfP8W6O+gFMVxRkEPsQCMNsBYFooWc3KeS4JNCyApWjBUQskqf0GJVVMZY
0QrOkVeqSQgvxEhcywHg/JYkmaDv9Cg2HfUxzkeQpMnHWONQYEatHp2yS96gmu8cLKhbZyT8qwY+
cS3SA0JjmrDoIVhQmTs/qJ0no0xFcSiFng10+M3pA4qinsZwMPRPlVkPb7JGExpXQW/6MuL9j8Wh
VeRvKtFT8+WFjb8bnBkFc9Br/e4mFnmM+3KW9MOtLz1/YeasiSqGHrfOlgWYuhsE0e7H3mzYDabE
VSlEfsYI4yKfvs4DsWg7m2ODpFo0RHFU5LVPrIpINVq4Oo4WulmnxHw5KmhDqN/GfFs6s0h2dWsP
2a7qCJOJJq4fOihBZf0QlZVXpO4EQxBldmV+zJDH1FsJUZvXaeT142wvi7gRRGPa9OVs+9C6GEFu
FDRPJ6qUMFWIw3K7czNVC/wQR4PvJmjC8CNPXBRjOHUKO0PZfa/0rH5QlZWNUV+q+qAVZp1ssspl
OthJmXMYmNClwjFmFdNFaQwntN3MbiNlSTlHBktHhb4cAyCouci6bYuLh0M3gHy5ME4RWmARu9rH
250M7tuutc37dFHdHMpiLj5nzmR+MlfL/FBTg5OE5MoX5NkELqZA5Gon41bmTGJoyHb+uGKE6UHi
KiCiamrNJhS5GuqIu026s5eMjqXpT9q+tITwbxbNs1lymvKyPTos3d3Emm8+O2a7utcatfgJsrm8
UzbnehhISz5Q8ObldhQZ5r7csgqHuwq7IMfM6BFqkCaiQyRrL/kOzq3+QaJQgo3aTc0fZeyxITcV
PfNqGvGl94d+fjMXTToCGHo1H3RNWWSBdOpHoo/VA/X8gNGRk3kfZNun71tTIR7Av2CNPEYL8kMW
lvXHNNnj93RadEShVZPvU2/MYX6QRf6Ep55tRdMag8odTeVb0li9nwmU8R8+eIAeJUvtV2ExSINF
baj6MU6m8gMXgeXb4tnqe1suQ79Nez3/NCWWX258WznfEgdzq0gMaZ2+zVqkQqHP7j9stDlHL9Iu
ZmXdtJkzvlX5HBg3QNS1FeUphvKs28xeIpvyBgWun+PxrS/57N1MqluqjY0pJIYgaAqyyKNx+1At
o6OHnc5Zs+06wV3J9VUcYfKX3vWNJ63ImsbqZzwJnd2kbPWe9dto33uU6B9BmeYaObPtajdBHHfm
tq+L6l41yAj3wjX1b742BV0oAgWoqS9xU4Wogs23lSsSqpFAaF855lMzLIlhvelqSzsYrFAnIpjY
kU/4RGj2phWtUJCfx+Hd6prxkJPHjk+Dp3n1zlvDE/GoabytSQ7Une9Xv2zXENCHym5aP3RGv0kP
2Hgax7JIpR+SjZjtzRrmdWS1Rm9ECcjbGxf5cxBaYxun0QIDGJDAa5cvg65Z71GMaWQPT8vy8X+o
O7PdxpFlXb/KeQE2OA+3JCVZtuyqcs11Q5RrIJmc5+Hp90f32tgWrSPC++qcBhYa6NVdqUxmRkZG
/IOM1Qeu81HRVp4TFOm3kUTqnuQmljnjdvcX6EQg703ezxa1Z6f5oCHjnuw63RbcM7NtLmTuInBu
ZqHLqV+Uc383EJC+J3CVwj2Cdzz9Y2m2PpWZKArPCIM2pVqicnEnAOPv5Gxq3sUFlrVeIrf2XVWS
sKCBQYsDUVx9ooTZl84+Enn6t7Hico/XHfGnmc3KhXw3nCY5txBmoQrjBTJQc7yChr0YjF7xw2ZG
c0BH0lB2rVgkrW+QD/yYE1s6SUrQDjuUpqeHtp3Szwix8hWctFWXPVejjaYUMcSatKhQpjXSrJKP
CTUXtrHOJG8zZA8em0ImfvZqGxVeMASK+YPzI/S9QsWBMOpU8dMQyt37kMyxdodGUnVC+eB8bVHF
jTwzK8t3cGyq3NVRk/tcD6FW7UjFFYNfao5fNAn41H6UknHeUz4phxtFqEnoBzi5fcqF6MlTHTzC
9yFpOXB9kqOEeJxMKANTfqXjUSXtU1iBYvPNWlMfF9vMymvMWG68DvUVmCc4Lyhu32Dad4Oltf2T
ax2GTmDakri1wEVQOS1Fl3sIhKMVYTmlCDwrDlttb8dS8KvVyHN2tjmM75yR1pIH3kv6KVP0BjXX
9O/C1M5/RlpvfiqaRv0ACG6KXRQnpp9dllixr7VFr+3VUSs+FVaBacBoRdJOh2X2e6C8KbmEPylz
MWYSdwq018Gz5Saw3N7kteE5Ti8Ur6HNFLrgbSXVC2NdQho27WLLz6cMHOLUNQgaN4MWlJ6TKjrO
LbIobws7dd6jfUc93BqM4mMb232z8ex8XaeD+EH1VQGBgNi1ueohqA7MyGiKjCNIBnUnBbzUUu4I
F7D2VrH39QsXlgthDKkNfMlwkzuv0iHdrEhDrhrHegTbrI397ArArBuFnaU1d17YgeWPbgjUOLov
dPLOR6FpqIRqO9vHqhvrHykEZwNJdEyhdrKTCKh/OJ9/nqsSqdKgklNxM+AQ83i9EPJ6ptQ+0cBb
qjwoCq4rBj3iGMNYV/ZxyngqdHEWf0mTSd74dBdHsTEMgS/M/5zVp8u7qinLAG2aTrG7L1UfdXeK
FI9frs/lFT6bEUBooRdIMwB5qzVISh2oJibB5Bydmme7p+ZmhsuWZva/2sJ2nupJVN/iOFZV16bR
TtqoTfaflmfvj7h3ou8drzYSdMiIp4gM4AmvuFbsoe5gzadpifmhHyX7LzlhvVGNurARQKo+m5yg
DQJU43wjDLzKbYq09hHkefnbwldH8gPZQHOjMMjiPNJI5EKIclLE1oCyc5iKNvxzffUufCNUEIEC
U3bDB3Z9vJIm7MtqGO2jafLKx5bF2JvhsCUd9PoQL2gXKFwYfjwLQZxPtYu6Qk6CxiFHXDSmEII+
jnjS36A4taWF+LpuughawNZAGhtJ7LXw9FJn19OZ3WBg33KwaWO4c+nItzGeEMDyDfmPFm+e6Qur
CDmMljW0ehW88/L/v2jHF4u5JNlDcCSHgf0jp5knd0O5u/6tXpcvET+0CFGLnowJ1OZ8lKjN+xbc
bXCMJrt8KChg/6JPJ7ldnw13lROOGxv0wlIuCpaL8C+AQNb0fLxyGAPd4II6tmFHp0su0h2VcfFJ
jtGLd5RavSuGvt5SC7m0lsDXNAgLlP+AxZyPKhuQXIJBBDxgqQTb9iAfHHV29tfX8uIoVBcR/oXY
o74y63DUCfGYJjhqKKLzBht2UWW/uf9NXxLm4kKSWuho67ZPJtPSocMlHXtaIv6sq9IedYZko7t0
4XBRr0eliX7+wkFb4syLzRdVGQCaOpKOo67GXg2bfZ9hC3tjzPnT9UW7tCFejLQGX8kGAn9hwEhO
CZGRKmWOWKzBEUZ4LdtbXZNNbhpIzca+f10RZhnZ8aSDgAmAnJ9PEFweNGaFZUQ7PnjKsT560mu4
h7GV6V+HDoC011tmdVub+Kddn/GFtcXIFrweKg14Wq7bEnRgoESgvX/UKXi/1xTU+xRSIr9rZGMD
OXJhR2JzQ9qywCO5x5af8uIzzrE2Y7lmBcd4rIN92lSz34zmm9vmpFEga0hAAHxC512NEjvCUppR
l44IhRt+LIvZl81uvHnzsuHvjILoohFCXW81SislQHCmOLwNtCb1sPp2dllRa6ciHfX314d6fYty
c4KDeha654pZNY6CPBNGFjgOE9LCQ+wk5X5sTe1+0uwjFNT6QwHiEy1p3kiujLK2f334VzGZHsSy
N8EJALJ6htS+/GoYSI84GhOtmhDKJWyBaj/brf6gT0XvtbIyHa6P9+osMB6fcIG0kjtwGM53iWLg
uYSrMNGRetpRMUr9V5sW8U6MkLKRyQ3uczXtvwuzVXfXR16+2Vneuoy8IHbhwQGF0Fe3gUDqqMlr
PTimoki8JJKmdyi5Ci9MUTi4PtSrOLMMtXg+oT61ENdWQzWkKkOOWxZOIdP0LUmtbN9Dr9lnU0jJ
v6X1AW1C2vKnv7S0pCjc37iwgYpaXTx1ovB4RuThGCrJ19QhrGEcfad03S9EO3em4OwnZpFsJMkX
lhUuA++BRfYL9tdq1KaTU4n6vXSsrBbV1KDEqjdF4CxQ9beqOfFGx3sNDAuXBZe6qZ3vnQGOzFQa
g3S0ysDGUUVv3QlvXHdQwy0/vVfBbBmKy2jhTdggH1ZDodGGMib13qNa9eU+6rtpp83yFlPh0ij0
iukUYnGBdMLq5pMoHeQcE77YoGKWI7VIQA7OlgDEhX0BsIyMBMdrrtf1KMqM4Vaeh+JW7lEFStIq
vRXdqN4hDbnYb7ViRwlqeEyitto4B6/3Bm5ibA6snNkdxNHzD2ZqGXjqsRe31AL1W7qyYIMb4i59
HTxlNq66V4F0OWwkemBml5RvDcw3ed3LpBKIAwya+qTQn3PcbjTbu1FRIJpQ7y/zQ5onZUkHtRlt
l2vMsTdOw/qLQhxFrQfSEOQeXsfrtExLymQa8Qs52mHVPmCL0N8jjWhtTPXiKNyBBNEF0rqmXM7t
AJVKocWcSWP8UBVjeZe2xtYZWC8oc6H6jfkIzE6EQ9aPbFCJM82hLrzt9BlMUzKbIOYIobYvyiA9
TqGNq2NSlfsuQ4Nq38/O1vm49AsWpoEKERc6gLx6YTa88ts5E/i+YZ3xQ3Sl/V3DqSt2hd0guQTG
pqpvTErXip/MOZViOBhB+sZ7Y1mGhapFKAA/hzDD+SbW7Aj8oRpIx8SuS5pTwJBCN8xwTYH84MQb
bPX11bGMRqaNVgkCtWzj1f3YJGJ2xlkObwHN5vuE/MP29DiIv4ethFBF1Sjh96lwlDcCPZZhQeuA
pwUsB11wNckSc5QsDYLwtnGIRIY6Nzd2PojPz/fim0hQ/1dq0xkd6ipV6v9BEhQEWQ7i8ykhx1hY
fdwY23yo9z/L7udLMtTFP+c/vCjN/gfaw0KIOSNFafo/CBWBzaElgpviQiL6DylKUv8BMsR/sFCf
OMoL1vu/SVHGP4jjssUwvSMXgmOgvYUUtWyPl7kVP4n6C9cluQe/ZS1bSYqK4CqGXXcAT6a/ojbH
JznM9N9SF5onhH+sLW2AVwPCjWBQeGeLEhglx/NDSf8yGOLCMu4oiI2folhWEGUrJD8dB2TvB+2N
8C6+LkhP3lGk6YvVzjp5RNGqpueAESpaNO1HbTbKH32pbVkHr+L68yicPiZFgsMzZ3VfNo7cT3aG
B6UexsPHHB7Afo7NdiPEXB4FDg2vG8ey1+DYpnbsKM5wgqOGWPgAS0LfmTfNHVd3/zIX7nzZ4i/4
Hdz+518oxwnNmSrUtoEyasouns3k4GSONvhqiRPwi9Pz/t+d9pIOsIY5P48GvZk4DY4ezcXVaKZO
DtpoAd6leknvSESTtFNF2D0oraI+zWpVu3CiujsR4IpoS0nSeHqeTYGrYhnx7fqPWe3N5bdw8UOg
AXhMPrIGgJXSXBZT0wZ3hl4B+kppeRdGtJPG7BuUisF/+2hAYbDweJbdfSbDvnh2j70EpiWcgzs0
WdQfYwn4nTekdGyrSsWvPjS2tApeTw/MKOUtROhgYPGIO/+wctfJjkRB46Qh4QPAsm53HRTpZm9J
LRlWnChv9DpmQRHSxKEEBV7gx5TVzkeM09BohzYoTvHQG3+4qqT3NXj+j9cX8vWxWI4cgHTaJ7yE
n8mYLxYyxddBgRZcnbJAUz85ZVB9RcW5uvnfjMILhkCySNIuKc+LUXKckMwQAODJwRRml4e0v6hf
b/VoVlkEK4ZaK5wL9GjpDhL6z0ep0izNB7PtTk4+W+8SGfxEz+P4VhNAoRJzmFCyVpSNRGn1znge
lNtEtSDGcgTWpZnOSC2tzubupGb2/FEzhe6DZaYhRBfbj9Mxee9MEeAcKRk2Rn4da6gnvBh52bIv
FjXVa0PqurE7RVaT7ZUCJJVc057nuLUbx+2Z8/PiqltmSWkXbhQgXN6I62cGhshGLk9qdxr7Jjry
aBKY5qSF39lJ6A2B1Xl9M7vA76xD1Ui9AlilGX63QVb5TRmpN3Mqsj+WJfK9ptMYSe0me/tqwCuh
6M2dvOg+rA4oX6CcEWEdQIwNxhGpM+mdBaZsN6Z5tlHzu7DPqD2jLcjzgA3trBL0GIEgrcWW4tQ3
Ij0AIzbdtO0HV4FcgtxRMe36KtI2jtDFQWmXPRukkLWuwgFUjIG3+TyeZuB6t2GUN/uk1PtTnDrV
e2vO6idhiy1a5KXvTkuGVt2CZgfnvRq1MRNy/iLpT5lcTDfjPNR4JRAHEQUNjemTqHIDvsPwp+go
S2RymXhziHBEGpr4ApSx5CNKER2UrO9VV85RNuuhl2492S4chGek9oLZBkC1fj0YRdw3Jcp1p94I
uv1oTbFf9YA8Zfjjx+uBbEVOXxJVMiJKXPRVUOrC7uj80NF6jAQMmOGEM3cDFnDOtb8i6vDuVpLF
3k2jzvczZ5aza0Wmjn251Shf0lanyD73FTgNQLOhsXE+L60ABU0EitF+AOq72vxlRxvXsNj8UjaA
+ICZ47UDUB4ZXeCNBVhyzFUkoApNX38xPuLvqwUw60EGIBePp0AC8++FdRaD3B67neh761sODfSb
1iLJ4dpjFsKCbO0KQC2ANiOq9A3O/Fq26vlr0KJEGAHKt/OK50Vl2C6ynpOo9g2Ah8Rxuh3KYs69
oWbGiRiQ+2qdj8CKizH+JpLqGMn2p9kIOagwS1UQu5nObsVOp1Ql81BRsQFiV+HEvJWrLUFhvW46
+HiudS4oAvf5xumwQDSNRB5PtPdb0+tH/Go8o+x6w6tSpucWgcgS5GWF9X0GJwUyUEohGU3oaYGB
H/llfjcPW0pPF3JIqv3U/Glqc3go5Jz/rtiwCqeX2vHUUev3sgKXUp9Co+VnJp1RRcymZzsAj6pQ
/ivPSvmdtKvZ9aUxzd71rfU6xSIz16HtQWB7Jjee/5K8tYG1pkS4uCuPSGCOD6qFq0hG5nxTldUG
We7iSaZIjT4QpUiq1qsonpWNnltCTKc6i5ojgB/zY2/ycB01HWFUML87TSrVvT6FD7acATbNUNkp
1aC+k+Ss+3x97s/qLKvtgYL+UvThNUsivfo1+HVHQR3l04kHbbZv8NPxZtMG/Suk8r0UYOFt4WTm
m4gogKYto48JSDAf4oTmtfPY7ADvdvtIT/V3gu/zrq40Z+fUafJL1bPoRIM/2BWGOe4so0j9IJ3s
29xOivtQSaVT20faR1tN/2jz0BzCFLk7tTZ/5sUMVi0vtzKmZUetp7pw4OkHQFmimHf+nW1paNRp
ahCC4nPvu1pr3Fbo+kagWlXRltCw9CLYUAQH4Furfa2VvVIWUTydpiKPHiRVrfdVDnR/zGd91wGX
3bWFUT32XVI/pVbcfb3+QS/dnA41RApM9FOoD6xmmYFXcUruQvTpu/EwI764w/BdclGtNXZ1EXQf
tdBJPoWEdc82QLraoVQCKYwR/Rsly7cmwKJTaMB2pm67s+um9zd+4vI8XH8IopGCdSBONxy+8w9R
Vy349n6aToPkIGHf1YDWI+BsdHce2Ya235awdSxAjr5uQQsGNNp/qthztz1lb/ysrC3PpH9ZT69+
k6MtOAkqj5Tvz38TgJRC7qBYnqw5n/505AzYeSUljBVVfSqFVR2GINcrb2q+gJCpS7dsy87xckUp
57uomeJ3UptFOvLGc4/y7yiscDeh0dx5Wj1b+dLOPyAV2Jc+Ukbje4xVKZ0GeqXwL0uV/oUHQvup
igyugZl4mZ209FuPqfEX9OWRjKqjClgqReq08szamEtPmyKUlgI5qQT0lAjqjCGNRX4T6Wr11ND1
7m96hPoTv7GDrtuNWGZDJRGVZKIh2ebv09YqEYTKh+4HVrmy8MmN5YTnA9vWq8tI1txMLCDivOLF
6/exCaxJm9E/x02RfJze87zDSLOYXCrSxa0TS8p3moHAobMiDH6KIpfvjURVgMXVcvwxFK1odkAP
k1vLYVF3yMSJo0XVBRPOIDI1YKeVDB0jTk+igd6xT1LT+jBWQa27hlVmfyA2lJ9jDlTvGrXRPtSQ
bN43dlX9Uuyw+dYhBlEAQRYpoPfc5vICYKr/ELMGaQslSwdzvSC3fpqjKhrsTwJwqaEGLteA3P9j
tpv+QfRK1N/n0GKwEwIe/Ke2+jl3m7GLf1bo4+p+JI3iq1SgMw8KL1Zh9ssGXIleUGd2YSNHj2oW
dr/MdMq+luVMIaQeLOt7KmPyvMg6F6oP3wQf7iSUIIDNaiwZvj0SIX0R5i2uOkWdivtMV2tEjioN
PeS8g+gkskGDSmt0xFkKZqHLizBHnznu029GS1PZ12BlPUrgk8EimsPeDkLzniJGkroTClqzC50R
MD64S/GxFnocukDMgSr3pWR+RPmzAuhsoJ/ra5OiuXVZwquy+rHQ9pQDe7b7pAcnCmZT7XJ+6kfQ
r1rvh7jLfGwbUQAStYyIRnLBKpa6fFJBmZaupYcajLIEJ6ajmnXlr4mYGXtNZXWPSoQmjFuiGqDC
NkMY26ed1v3J5qnv/a5O42aXT6Mt7zWoFX/nqSuQz6Ou1fmhVqRYU5XZVEKoocPmq1VajQeeg/kf
Mx16KCKk+xSdSHOg7eLFB/kuXzQaCj3EkbYKOaihinGfEaGbDp447ZB5whuncsuBDHyfUJwIkQbR
yydlSAqk6YfO/t6ORfYFEoUyHChHgXGtS7MsPFMoxT1OYSGvUaNyHsu8khOvj8z6O89W570EO6xw
0zSqflv8g9BvQR3/tpMWPdiyCokAVRxrLs7NSeI6NnYenpj09C4eahuyCK0galrg22lzqWW7m1st
eCphTkwfTKfXviVdZtYuCh3Dj4E31QR7GQludciKH7rAq/y+SKE8gtOO5QImYReB5e1abXJLNAl6
sOh6A297ggfmYz0QfZyaWEy40RvIw2OtWt5D96rdRunkXaC24l0vgfotxNRG/lig4+QqQZUglxmZ
8bfMjvEnQPU2+O3MZfBXrutM8ZJWDUNP0oxU8c1Iy0e3nSSluEUoH+55FU3JFyfWw95jdwBWNsYB
91aEqEw8MJETzLy4wl9c6UaKe/NU5obvOOFs7pPe6DpPDQsBlkNy7BvLBLfvGXC+bovBiY4wKyfd
6/BAz127lZMvUhYBr06G7laypkp3rSCtxLehiqcPE7qks6s3TSShp+p0zYBYpNyHxwJSU3WUzShG
X0CgRPRggFBMdkOk6xJZXCDQXkHgtr+TMakAYCGFkych8Vt5Iq1oXyG7UFR7qS5byE6DU30rK6n8
ZLVIOPFOnfUMx6lSJvGeg/Cpahr8yeQpGe6SOVadgxRV9dcGhPkpxQHL+Bi3OLsfrUIZDH9MbfWB
3VYXOxO1EecOnkz72Wx0FsoeQ+2jPtXabTzEyrda0nmiBaDPkcMMMijqlpk43wkbnYDnics6KiUk
D6T8sTF7TqaDYKjzvH6EulX8QGG8S/2Jn38MnSgGP28WTblD1bq3XDVQ+ycMD/Cbh4Oe8ptJaL8Y
emLeKgLDuGOAPkG8i4iIv2kmWPCOIO5x68tYEaJ6ZGS/6jQwv+ZWz/aN2hlFtZl1EG6XRrPtFt0s
fZZrpE/Y5lnYuxM0zy119mdK8joFQOcWTylCGiIeq1QY3+1UEyRoJ9vq5NNkK6ShXVPJ8qGVZkLu
FMap7MXQgd4VadDB9wSO/VkCL5gfE8zWoRAUSd24My5AmatGrfP+euJ04aFChoIfIT8RgNn6yeRI
8JMw7sP/x9G5dITAWMtVIivdTXMd3o/ayAa7PuSlnBm4CdUNlAE1FOLO0yItyMmEjHY6zehIYPSc
mo9zN2cb/dBLbyISLxQr6T/TUlgX0Vo0G9I8qBimrIfW74smus2QfBy8rIxtC8HYrId5bVXqB9B9
+l+zisy/Ek7X4b6OpVojoEGj2Zj7xV8F2gaOGI8FtG5WG6KF62Vbozqhp5kFH+jHhQcSiPF9LFS/
IE99F2EnsUthQMWulIXtzVAWn2wtDPxU0+un5y/xpm7u/299WrTcqLiwZ19sukUS80yt8jH+2f2f
Y5P+zH83L5uzL/7j/7RkZecfHm+AW5AdYpMsTkL/kaqUtX9wwaVJiTg3Hb2lzv+frqzxD0UaoBsU
ZnncgkX7n6as/A9NGr4t2Djk+/ipvKXeIFV5flRQHqCegWnnokjGaUFq7fyomHmvAC/CzqODueTn
FkJe5TDk+xdr8/7fcPSy93Zecft3FKAZgPpoxQKWWlXcYrKqNkNM/1B2MLXq5XAMao3LCe3Yt49k
Pev+AVIAirHM90WZf8gqJUPHWD1YmfrbFHbwtbCawhMzGdT1kZYn6f8E3n/nZBPR6F2CegYXcT5S
JSFP5zSpdogKHTnYsYj90bAAxWcCXyvJMO8gZ+PpQKNvd33kS6tJS3ZRzVo6es/eVC/mWHaNIMct
tIPaoFEy2aF9009Z7nei3bJlPA/e/5mkRUNtwZ/JprFaTiDds9bJDBUNSnI/OQN8Py7Mz7z+0ltk
t5Nf16d2YTsCjFiE4pdtz3vyfFFbUGi6MCrtYGNJ45s9jQ/kRLdaX893zurb2Rw95K7YkXQLVzGy
CUeUBLRSPbSBRJKJsXn2NDgtxrOTXcH7H+WkPoW5YiAyklOGSMag/CIjAEDKSQ0wceWwMh5mY6q+
GqEe6G7XKeMjx1YJEcTKVJ4l3GqnaoiqJyVQ7V/FUFHfnXS5KNxRTYzunYGTyuhdX70LG4NpgQ/m
qCFrZa4QD7zOe31C4uwgZWN7AIAV7aJADu+MRn8biO15Y3CMnw/0AoFe2xVNWGNDWEeSKKC3jBLC
1N6YUiJvNBAuTYjMYWmiLbDxdY/SUpMGCEGlH+JGyV2ERxwEmqlGx30sbt6+dhTWFx89qvUgBM93
XtNNRRYrpX5wejXnKoTPnceadBicYaMOf2mP03p4FsmlLbZOiKK+rseASvoB6Y/5ttJjyJ6pkn14
+3x4UwM1VDHIwNnjfD4wfyN4cZJ20KcByQnkBVxDjgLfiVJpIxI+4wfWx2mRyGfngdYGDXs+1tTw
7HAaoeMObrb7gffcrp0nZaeHSgNBeczvpATXThPhzk8CX8h3ZTQUCH0QGXleobFTpLp/ffoXAhdq
QQsCgSACKGAVSGzJmcIAYNOhQFTjnW6M5vcUp5IbbqLQy2ep3UgGL4+HNhFngoi8Xm4A6UqVICKD
kIoje9imPyxUN4yNC1/E8e/rk7u0g+ig8/0MiD2vdN2cDgY55HvjENldsW/w+3vkGRVsTOnS4VvK
/fQIQQdwMM6/agw1ew6VicNn1NlDPxuNXyKKfrNoumwMdWFCoAtJROD18kRY5wehk1MX6BnKSlvz
kCE3uNNzzdwocpM1rW9s/myQUwQu8t41+0SHxUu1kWiSJ1btw/Ifdzoop0+zlhXLe7m8WypBu+vf
6tLhWJRy7SWdW/biKrAYAqZKUSdMq0PfiOe0VHtlGCOliLqMpzZ0bqCKQ5MfLBNgTqyF1seySmy0
T1I76d1xUoOfsiXm79d/2IXPCzqOUrYOSgcw2erQwr+0xZjpZH4qzLCgjMqPmSnpBxRGtxwmVuX9
59uCMhgoXdJdg+bZ8v1fZCxjUc9O2bIGMQFicgNZJL+oIWRLtyxGkDNTauPLQJn8FxIgCTdtGdw7
gPcRcMJ88r0q2kxzZatIj2ORDBAHhsn6JhSj3rrWLiR1dKnZ7BhC03VcszKiIi/aYlLMgzmVlLUE
L2YcU9M5upeVYCjc2qq6xyQdS99CrvDtWTJYO2BTJCVkrmtRczSaKiFZJaIVrdocmhoevyyZ5l7S
ZrGxKy8duJdDLeHsxQdp+r41p6yxDh2eLkhlYPqlhHrhX99il0bB/BfcGfjL5W/no8SUWagFR+YB
g5HpRldSB51o1dnIei6OQgqy0L2XzbV+XABCxz2Rb0b1B+EuTXxDNupt1tP/7uDFreu/B1mlVoM2
W/VUjubBwLN1LxvjR3mmSXV9vS4FKNCJXCJghtDSW30VbQqdRpcb85AM7Ynwj2pvgk8asiVuOMQ/
dZR2NrbcpbVbJJy5sGhs4Wp1/oVUYcc15TLzAJEg/jrNZXJC6LLcoh1dijXo5vNeURey3GIE8XK7
5VIUayJOGSa2xluzTFW3mgNpH9Fa2JjR66GwEaH8sbBZHK6t1W4Icy2zJpk9l4OK3fODdD8DkezO
c/b7+te6OBLpDvgOsjmE4M8nNdIRG7NEMg7oglU7M5ckf1Iqy2+rfPKvD7V8+PMEi0mBFwcoSuPx
Ffca0c9ZjIABDtNgNp9HzpoXLYqlPDvUPfrMW4LJF6e24AvoO1MJWZNg06K2Z25iE2twuX3k7jCR
CVCHh77St3B5r3cgNYGFj8PNCKFqzW20eLhmaVawNUQa3cgVpi8OTPONBbw4ygLLW4owAESXk/ci
3lkzCj5owZgHESbIK8pZf18NQ7qBkli28fozqejtoiDwrNSw2uZ4CGoNDWvzoMwa2kWRJQMsCvtD
LuJhT4dH84YRG5CmHtSbQYFF//Zdoj5D+ck38Nhd3egW7A8ttwZiVDooHjxG9L+arroP4qA62FMS
bOX9r+MVBVYULPEG5TKBWHW+qkWdFQWPKeOApqPljk0rfjoBbZZotJOjpEvSQ5Qt14sRNl6QtONu
kLGZVZ2aJpQTh8nvuk8dlBTVyf4wctc+DIAS72Rono/XV2ZVFF3C9/JLKYjaEL+w2lw9BxQcYmyn
HYwD91TzE7U98aiHc2d6uUiUwh0kgTIUexRRAxUJPVTjUoD+LiATI/XbzjF/W1PDk/D6z7qwK7Fd
hjAAWpDimLpavySFvaTzAjqoCDP5jlkGvjxuOrFfOMyw3ijzUdMnq1lztHQEjVo7jYxDwzKwA51F
P0THjb5t840deGkoovszbpl+/3qoPirQmueWOahisGikFml+dGZn/hgh8Hy4vngXx1rSycUxjYR+
tdtj1Dodp87MQxRos5dKSQr2m7sTw9YtrNXFoUBLU3AFcEQif77PczzJLKMqQbzV8ugXhsqDuiJP
s6izbGyJ1wkont7Ep0WUAnjZOgesLeE0IDVImVprukeiXPXVIERrbbD1z7qelzdVps1uXG4Gr0ub
ERomaQX8Lt5iyyK8CJGTjOp6P5Gjz3q8YG6q7CBMeQvZd2kU4D2UtbHAgIC8SnHS0sriSWbLK/08
7Kqhsf0Bo7GNVbw4ymIYSGmP2vaaFMgTpouq1DAOmBvE72pdz+4lpdc+Xt+Bl0YxOLzUcABnQTo+
X7HBppVKzNcPoCKSOwORc99M5Hojyr4aBd2f571Avd9hV6xCF00/tNdsvoYjGeG7rFXSXzzp3pyq
L6NADgOpjacIpIPzuSRyNED5STNKCmrrqg7StqWQ243k7HUcBvePmQEiE4sEFanT+TCThc64UdZ4
VJkhht/IRNE5V+I6LbzR6KPHwC7B1PBIt/odiFiU51La/a6UNqrpUd/M79AQquuN7fLqfPOroGwt
NUZefbg7nf8qhyIHLWc5PXTGVN8MdfMLpRkBSRg5netb5lUix3Yhu6fVsmBIoXicj0TTQKA8ZGQH
I6/i3SSbgAWEoHs7oon7o0cDcnd9wNdTW0I+XxW5cUoe6ytGwsdCDXAIOlSdkj6MGpwngyW9yZ2m
fWvwh2mn0G3FRZCuCDyr87kNqsO3nUVx6Mw42pmTjSzuXBiCMr7INw7FpWkBEySho89LrrX6YsBP
+tDO4uIw2zmOFUCsd62RwRnnSvXfvoIvh1LPp5VBI5gMEGOHakZBMFcpP1iDWrJJ5S1z6Ne7gxVE
/WU5GOzDtcrXOBI4C7MuDgm6tB5kmdtEAcRCYqdgQ2K9zWaDpGj5YFisU3fjccGA5zPTm4y0uCqL
AyC3+U40AMO4q5uNcvezXMdZVrwaZhUmuwWkNoZ8q9GpI79B9uinPU494MKwclPKpJ4mac7gIrs0
YQaWtz+QDbP/F5uT6hNJCfkWYPzVV5wSpZOoArNh5rh7l06xepgQ1LypdWVLwurS3lwUsha9BnnR
eD9f1ilCJ0sNkuX6FO8Tra8PSg06tR/tLYGnS/uFFAGpFJaYLHw1UiWTHwDqxQu3QuaytIPEQ1f1
VpIV2pBB+fvtBwG5A1qONBQYcTWa0+Y8bcosO0i9gathPCk3MiaJN22vRhtR61UWxHxeDrUs8Ytc
JGlDKzCLaLkmujjySyCmo6t2Xfy+dTBCV0pKY07ZFKNfA5Z6uj7PS6uKdB5WYCTl2CmsBreUGp6D
HWYHsGnhJ9Kw+m+bZVh1Ybp0p4h+yxHs4mTJURZpFN4Aa+2NWRKhinZldihTNNolp8qOSGTX76H6
hn9iWZrfaV3f35bYimy8V5fbZn0y6XlR3UdoE6bh6ouOWizGTmKn1k5nnaRJLWMfGRBQj3R6v+RF
hrr6OGjRxllc/tj1sDasILgLz8yg1bAz2JzI6LX0MEWN5ulWEJLtiml//TNemtwCOsJekwYimfv5
HqrLgmdvZjEKS+BrjWF+mggOj4pSg+dLGuUuK22ss66PemlutJTpzZNO0GxYzU0zJgNbPhNBfclB
jJXy8a6Wm/7T9VFWPJR/Qzd1INozKBrSVljFVMxRhKYmTC5HJf2nikj4vBuSFnwVl1UaePaQt08j
mnlf5E7cWWIYHtpUR9CfGkic+Nd/zaUDA6ufZwPwIYSFXh8YzFMiOz0Mppp+NhopvUkco94HQdF8
VTOhHq6P97qlsnQs6LSRDiM7xyV2/mmVrEOHPoRNCJ6zGA9Oao6O149pbB20MtXbnSQcIaAH1HMG
z7sGrCoJw85h6dQTts9x3cnHstDkuxYk79YtfmELwKlcFB4WiA4X6/mvI+PiVTJ1/Dp7Mm9l0ZQP
el5sLcKlUWj003wnY18IyeejhFBk9VjM2YHm0U99npCP0qR44wxdHkSDaYPJrv6qDoiRAOleoRLy
y0QDvY+vyy3vh6DYiPfLDllFBOQlGIWHITnqutWIsR3utJOeHRIZLbVRndS7BBQpQipVctzYPMvy
vxoLytQi0rAQOVZxAWVrCSfXITtgqCi/K7Fvyl2tbov9oBbNp26qtK+qlMyo/wuDuCQp3T4r7Hjj
zFxcWUA8xHubaa9fdeOUl7YuOMBNUQU7KczD+yKS+g/XJ3tpFLqpJP5kI1TDV1kPMT+dACkR4Omv
em0kyn2uWVvV6YujGHRuSSEBoa4L4f9F2nktyW0Ea/qJEAFvboFGo8dw6O0NgqIkeO/x9Ocravfs
NBoxiOEqdCWGWF2oqqyszN+ACuhKTeYCS8YifjIiLYRdgbnaEaxz5/VITgVvXKNlSW3aEIHoWVrQ
NI2kIINeBiWr4tU2dhNp2FcgNeQm/hCpzoI1RWO/mxej9zuQmE/RDMHRxdzQSdwOiZHX9q0JRBBn
6DagdwBPcRP59K6xp6wmtUWyW/YgXEx+lmT6H5xC/nqRTdLaoNJwPe3ZSHB44C0ayCMmj5LKO2cS
HJeX98renQISEAlK4XAs1Davh1m1rJrQdi2D1hoeF6sADq474Cemj2rUf5L67mEY9fsKs7B1wYu0
1VLn9ZcnIsEcB25kUqFtTEu7udOKdC0DTSt6H3OQhj0r1ZeXJ7oXbNhHKF1aYKFuJJuL1UadIs8R
+mLCZ2T2uyfkFRq/MtMjUNHeyeDgUSTi4cGbf3P+DHVOqRu1ZZBOtekOrUmVPI6Oqq47CSS4JWBs
VFbF/btJBloVuqxQhw80e8AyRZvU5rFR9Fk9lTWOTyeBAbBxt+lWlnQxyn9e/p67k0S+DZo3uiqI
C17vG6JoZpZJyTOSFNWtx6R9rHGrPbj0d1ft2Sib+w5BrLpTdB6rjV6N51VRZz835sRD2PPoAhcb
fXtDEMcsVgxTYBim1xPSipISmZ5XgUrEeCqSpp/dygpDt4PqCxnH1j5yTo6KzLvnD+QjnRRwv6gz
bPKGfIEzk2QSy9i1HeZPuT78ZKM2FSApsmMgItp37F2gPFRjvn4x18L5sVBnA644yErzB1cHL0sK
m4iE8NzbRANob5nEUrKqKXTLhO7Z6A7wk8w/OPO0T9E3FRZy7OHrj+3E2drP1lQFLXSWU55FnZ/z
0jsIbntLSlBBDxYwGDnjZo9qMbJ/sUEZrFjGb1E0Fa7kSB8yqf3aZ1PtzseK7SIH3W6i5yNuNhFA
uUyytLEKpLRQ3g16VvphARuucTrzE7j7xZuTSb7La2n6rscUeKp1XILe7q2Dqe8dT4p/SOLA5uEf
ET2eXZrEjDFlV1WBzjP6NHVIHxkdwvuvDwJ0VwGdCke7m3wmTOLGrBU2L7Xp2avz7LucO8kfxIDn
g4ipPpuKCebGTMuoCgw1Cf0JbWtP4Z2Hq6hyRHjf/WpoB4uaONpoW8QSaNAkMeFEB5opOZ8pYeHn
robpQejcfclw4f7vMJvdH+lNWCs5p2wcpp8K6gGlrX505OSHJXfY0UaPfTe8jeceqdT+KUcYq5T+
rcyjOsBebEU7kTIqGjkCWb75rrz8TZhtpDHLFD6kzljd4d5S3w+ghA5KDuKv2h4LUQMH5QdilCb1
9VDyUBmSYslFkGu9MK2HzCuP+NPOX9ImTg+2/t6pt6jjoG2N/wOtoOvBFHO2yxidgADpMhi+zoyT
4d0kQZb21nKqPlRV2K1+mpHD/UGOQaIKQhPhPPT1Nley1Y5239aLKGCtK27ns+ohkhD50YTn4Msn
b2+S4uaXTQD6EME2Q8WYMqJsQ0tFzZL6+9LW2r/TWg2t10AbDHQgftiqSk33JzPEpPl3l5K4uhl2
MSEg5EZaBlgV9u87fdL8vMd0YNGW10ne/S52oBNHKU5Yn5NkbLZn2FhqDMC2DHp8GqHERtjmrfmR
NvneIeC6Q/vZFND5rRgdPkj9OKtdGWQjqfY4z7GHvmbrd4V0JP+/t2S0SSi9m4xHEnq9L9NqQc96
RQiNMj8GQENW29ppEkoh0QhnABm6rE0RMI2Ng1r8TlTjnhV1I/CoAhRxPTC0+zgmSSwDzES4EBZ1
oVKkr3ev3pFkvL+f8whdkspcj1Iqs6RiBkQ7bS67uw4dpEaIwLaf0T+qvqpl7cTnVjaKgytoZwHp
wWpI7QgBixuQ6YRsuGZlSh7g06T4FuXwwG5NDMIivEhfnuHOd2QoXn1sFIG4EX/+7CLKlcXMyc/y
YFaN+K5BnuZSOfOrMYeADRwLQBGOwbzwtuX9QjUrfW4ZJc1rXCgzzfBa61CtbG8uCLHBR6Ckxit+
syd0HHp4copRQIX8AhoPFTkLrX9f/mJ7i0NHi2DIK1kE5Osvlg7mIPcSddGwcNKPNHhttAjUdrjL
sSo9SF13jhdZCMkOb1md8ugm9VpIUIZpSvJgNLr6MS5b3nYVK3lunDH0e4UXEE4++Cu9eoqmgJaD
SUH/68ZKBG9KbtckoxuTp5PXpSgWldpEH12bjwQd93pq+DyLFaNTSOdgswGRWCi7MQ1zsmblL0nB
MGqtzZ9j2X6zpwIaMo21J8SPD7quO1tFIL0sahFwebnerhfRGZokxUSIolU5WmeMVlXf1Frr9SkC
WBt4AGBEoB5sFU6deKD4O7Z5gEcwTKu1Kt3JWe+SibKSVoR/cJaBciHYKjI94ch8PSmMleYI6FUe
yFSEL3YYZg+amU2vrxRdjbLZ/9jDj7YOz4WuYzS4phpXd5jt9ge5wM4pE7FPXC0OUufbrHU0Z366
knPKhnD0TND2XirUbtVo1Q92+95eeD7UZi+gAlUXnVESbWveh1mHqkViDN3p5TN1OwpHGPYO/VRq
FLcTWspEtoDiwSyaqUJHjfWl1Gb71+tHgZ1OtV6UMLAOud4C9djH0YLOUhAhg+KivdL5SZocxYed
Q0vHC76oYIsCyNhSzMoWIaVJSpQgknW3lJZ3Zl6el77F+VCug0xN32AaesGfLoCeeJAK/8ZiXife
SPmiUm7qgJU4uiJoPruyJJzNgVzBB0tsI/aGWB/vEq2PfPT+l8emmO0TS9gIVbh1whcvrr0MsycX
BmP/3R51y8dcpL1TB8zRncVY38iFXt6HBebHr19ydNRlanNceZgLbe4jVR94HkT8UHtw+ktRZLNf
rHF/kKP8Ln1ffw8KLVywfA40EOkSXn8P20H5l7pwE8wNlj8Q5BCeQLLdrn/1o159bFDV+TIpCMq2
eqSXbhwVJd4nJuCZoLNLKkK9Vk0TWlzD0OK4PISta6ApjdNEHWF+LMdz3t+rljF3XpdIle3GI1I/
rt6rWXvRpyWO/KLXrUGIZixvh1GO0U+pq1TwxeTmZ1It1b9rmjqmW5Rhf49EBn9roSthh+Wt3i5e
3JZx7BY0OjIPFlNme2te8ngs0zbzO2zsf00WPDS3acP+bcxb6MhK8PfzafMJBeOPHUV2Ap5pk5cP
pHMDNStKN6u2/qstvRHMWVdjyKkoxdeqztRfcYzkjg9IHqeRue+j6ITuxPJPN4zKY7NOyVu5Npef
oLuci0qLwp2mdf0UZvSqT6QR0XiycA3HEzzlInVlHLWZj9IOvxJole+1Zm1Ew5qrFtvsykL1CVr9
dzVU1k8vB4jbuAqeiQtJZBSCn7MJdrpUaUkUOhQfF9l66GKUBstxjM+yMmQHB/U24jEUe1IIYtMN
28YiozfWsGRvBZbW1Kd8WAevxc/+4I7dH4U6P0RUerbW5jrKq0mq51aqAjPv64AmR/8Uh/XrzBHF
w425aKi6QfuiNGRvRnHQMZ31xK6CHObu44IMwhm4Qfgqb7D/O4owf6DyquH6dH2StbSWnXZlLmVG
VQ29V/Sh1nJ1CwpfB7HpNrNkQhQtuIxATQFzux4qt5sSJ+GqDpCzad+Ms6x87Np08CNjWoJWCTUv
Sbry/cubT9w+N8cMdRE6P9yBAH2uB62LZlHBMdTBOM3qR5N05YINa/SEC6DjRrLUnQe0sjzHkoyD
N/7OpcFT8fdtAeZHQ3PieujGsToptClPqWGe15esw37WU5CpepfKRv9BTpwC8HzfdN90IzS+a62j
o6M0S2GwEgA/TqPccyjTSv6G1DgabrUcd++aCSk2PF7qyvRf/lLi52y/FIIvAgpF6njzAiScxjMt
rgrA1QxqtHDCfMTLrP9MbSk/T3U+//j/G3ATF2QlDtW0ZOvJVvZ+GEvjbYSE3QfZyJanKHy1GAPH
6TfiET4zu1DdXFmoaRptOzC9OCv7DxB2h/c60h2fRnnww/xQ7HQvRsD9ZbeLDjLaJdeLr6x6XJYx
Qc8eq/BrBxrKm/BiPsi9xN+yXTPSO9xjHFpxsHOuR0EYSLNDmSCk0H/zkzmTPmaz1r1ZZin69vrV
go0IN8ZAcuUGaBUmtU4/32YoqJV/O61dXqRYRoWYtkSA8FRxUG3ZmxpNMQjhlABBtG0CE7bOzdJE
TRXUhZm/qUMLybi80ny8QY2DdGaneWQRAQU/jNEEKuT6M0pJOKIwTL06phMwnDDZRWdb0qYBu3mI
ElBm7XaiaZua2kfcY/G8tzHkin2tWey7SlXG5eB9sPuLAAmSX6EEAWlCbK9nCWcMESjrC7poSO51
HbIYRqVg8W2kAfKFY+HLViMhv6aGpYvPOC1trSn+ses1zrwIxt2X1689qRDVNo1IdpPuYY03LUNW
1IEthQXy9lH0yYhxIpfg8/uSkq8HBhp7oQhbJPIFWHu0tjaHJ13XJhxVzmpLuRJUgkrrp1TM6lSM
uXm/QHZPDz747YikC2xtLB6gczLs5nsv64wcmtjdJYJaYeOABdOTX4O5fB6WUvZe+z0hKtMkZX8D
nqewcT1aOzdxr01dE4yrWqae1c7GaXQW629DyuzP6PCa714e8PYwMaBoE8KNFtYnm/dLHVY1XzJt
6Y5Kuq93cvehq6f2FEOw+/zyUHtfEmc31MEx5oMcuxnK1DqdqG7UQQ3s6WOYzz1u6aGsV67KlXtn
ZWlbHCzebayFpgKiDbQYIjEkQtefs0FtFQMGFg8RlcQ3Zj07rfOqHYwiFuU61jIKEYJKB9V0ZnY9
Cu8P2UKQvQ7UXunfDDMC3m63TsV3HB6Xn/YQxQ+8aWJPlVs1dEOkTg8WcW+aogyCwS/1NuRJrn8A
knn5ONKHDOIyRB8tFgBeJ4tfndwC63o2yubsWSYSK6lUNYEGc/pU6ol2SmckRV/eJbe5IKNAbGfZ
VMwstn2XWV+TtplnToDWpHfZoipfByXR/cloq/cIRbYTKJ1wPogrYom2S4jgh6hVKYIIvPmC8YTL
E6pzTRBVVdO4fRdN7ythG8OjZ/xhpmHsh8BbCteA6nF6ecZ7R/D52JvvWmmRlul90QRFH+b3VWdI
/oC01xenP5QX2p2m0GGThVsPMITrjWINGW4SCIwHxqLEhV9lNeZNSqefSuzrY1e3B/s85HoWWGOx
Xl6e5u7CAv+mXsK/NxoQ5ggWWYvSBga5cVdo8j9RLaXIcPTQ/9JzEk0/Xx5v91A8G29zKofBctak
YTwzrIeTbgPizVREbv9gFIoqcI6ErdP2Oh5LpC1Ki8Ubx7aEHEwKPnDPnl8eZW+LAN9ElIlFg+G0
eSBZyQqHttbroCyH6ELfjogWKePHlorlx5eH2vtsz4dSr7fIIGnVUphskaGIUuSDAXgMXtHo4aeX
x9nbDqBceVoK8yS2xfU4itFaQI+GJlgsST71aVx8L6MonN0kHFbUv0fFl1NHzw8O294lRMIiGFU0
TYCPXQ8rDXhiombaBHLVLL+kYckpf+IW7spmYwVSu2hHAW1v7chDaKCZ0KpIk65HjBQ8U0aVHQIq
Pr5oZWtc9CqaH9RONT68/E03qqXizS464yCKuQqovG+pkzgVaBBU5jZA1L6+c0Zr+DwPVhEo8tg9
lnnoIGO8qMA7YIGcnD6z3s6Qyr1Vd/p70KHW53JOxrfGFB85duzsKlwn0DzCv01oBWzymkFOcrpk
IPaKYkbUf5mRWLZ1qYwPbo+dYjC5GjB2kZDyVNt+bUseiF/6XAZSNjgflNpM/NZOmgddbsJHkAP2
l6xr0rM+m3YAvs75YixScqQeu7PkFDKwzKI+wzvP3GyySNMWkK0ALs0cMGc8SNV5GaMYYdDQml/9
GmLCz8ba5KclirpWlSh82UmTvMXJTJLUvvJWhOH9l7fX7rRE74hCsoMu2SaB00qUbbK4q4Ilp4Tc
Gn13p0ZJ+DmM6/RgVnv7RUCexNNLYP43s0pgjFpJMQh+ZWpeZquav5XSaB+cl6NRxJ8/e0tp1Trk
K1yHYEgg6alWWH2Y6aK/ukcF85e9KMRIAaz+3rLPRplXK9P0jFEMC3+mxg41f7Dq6eAi2tv5eMMB
jSHmI0639WZCMJzekcqm08fh02JI7XuV9jZdntgdzOm+aafzpEiziyOvt4LMP7jed74lw1NIoXIN
Yn0LMm67ol165AQDKR+TTjDpMWzIh7o5mOdOACc1hKIhHizUWDc7Y8KH2rQ7wGpAuuLAsdfGzzvZ
dsGMa3dhm/cHm35vXiCMKU/bBBQCy/UemUbK5ghNlCC2leznnDryB3lZrdPLR+toFHH0nu0ROeyt
tjXDMojHsPaHqcYBvmj/ff0g9PoA/VB5Ep3m60GGfJaMKrLKQG1C9bGUR9NnMxyptexNhS49wR5Y
PZ37TZRoimlM85JQrxhF8jDmffxoDLP58eW57NRQQWdprAlPOyLsVtsuXFczWWXQ2S0Mir+yNB2/
KWru/Mhmq7vg8ZZ4UumktW/FReIt0Wiv3kIHyu2icDFoRmb2gzwu1U+6AP1XBwCk34ZdelaHIj+I
ZXs71uTHqkQBas3bmkWoj5YxpQXlekd7KJF19+oSWyF1+FZ1pB8vf5e9r29RpxUVbVC5N/efUaZg
84Cl0rqqH4rI1O/LTkmPjM13rgIq9ULTDfYSNtWbRcYxEvPSEVK6UsbLDwzZdI+UIzvF1K4PnmZ7
M+J9TeWFPBHLgs3RcBzccTqZo1GtUfEDhpFyV0CYPTjmexNCDoIUjR4RhZ7N2ZAKIy/SXGPX9qr0
GE6tcZqKUXsqBjs6iGC7EyIVotoCHI6H2PUxbGpFqPEzlN5UxamYivW0Zodp505RQqwOTDISLzrj
Ylc+iyhxWCGxG+ILPuj2dJqdxBtR3qm78K1ptf/wmMeaJRo01wEV575+D3LlMT/BB+H6vh7agWas
IDVYBnWHLFOrjOoP3IiLgwiw+xmfjbJZsWiV4jVvmWA+G2nsNomePOhpER30Ina/I8kkOnu87rjc
ridTNgtJZo1OQVzWE1gMvDHcKa+jcxIP8zt8JOMnk+7Ufe6MZJm6OdgHO3PnzS7kGOgV8EVpFm2O
Wm8OyhLH0MCQMHLeVJGS+qMsye+XdjLflAlixLZVWQH/sxMdLOTOoaD9TJleg4dFwWAzdJxYedxJ
gFF7x2qfVKhn3wplNn5U8MdfH7eIjkCYQdrS/N6+XFrJaJpeSkCIOqbsJ4NaPcmpan5+eWeKH7wp
8zwfZcsF6aIs1pQMyGthay16mXH0JA1Kd3GmdWnO65zUfj4OVnawhDtblXxf9PNpDfMxN1vVwZmn
yxomV0xG72qQQFo3W+LlSGZzb73o1pJiMgh9dfHnz858XcuVPdPFCoa+8vOl1n17Sr/WTTX/wYTQ
0xBtLDJaBrweSFFXhb3BQElcOjheNW9DPIgO8ua92YAa0ugH0yTVtvemTQ6RDCssWU3mZPX18BbH
n/hUDOny9+u3BckdRGtuZ+QaN6WialxGSKoKIzWjF2JmFXo4gGl+NvT94OWKjR2KXdZHPp5724LM
RcBAhU38jXO2Kg+ElkQoWsymayt1BoyjOJLo2BsFYhXhS3DzbsDJ+epkhWQBZDfSAk12TZ3OiXWY
EOyPAuSBNAfcz1adIx/AAmlNXwQ2GhOu1QzVu0mLsoOa3k4wxluUCi1CADhJbIHWvZnXNXgXRnHy
EWWFXjZ8Xqv2N1xWKi+KGxsLlijzjDiSCtduUuXg7t7Zk5DIVPyj6c7wptucZKldFZ7zoNnXFdpB
McCUQ4pkfliaYToIvjtf9GqoTZpQGU6qpTG8URiC1slurZ8aF/ofDQImTOV2gzQtfsSziDEUeo2B
0MJBVvMG+Hr3c5Qj8/VPQyCAlL5AhiGcvm1P1EqnFlPEFVrKcRM4E5eHwhPhICbtLQ0OFUKIEO4w
TabrqWiFhrpIyvfq8qjEHybpJW808v4xaaXp88sBY29t/mO6C1lyekvXYyVao3eIMwrqREPH0xHE
NzmqX5/hcGmDEBDIGLQ2NlG2kWCdgENhs02pbbmK3uRBtsjrXy9P5je+eHMrAtDk7Q5U0+YO3uw0
udfnOk1Gct+0X96NoZPp7DfbDD+32TSEDzriSR3gxWzsT0lmtBf8sJrGz+J4eLCQoO8vGDaG/Tmq
TP0hq3NzPGstOK4/2KuESsuAiUCpfYvbrzua2NUUFsE6R38taaI82UpSHDS5diIM6EUqTuCQhFWG
+PNnB6LoZHCqGjebM2ixW85w4SNr/GIY/ftY1R61dHwz9ki5Zcp6gALf279CIQ6JI/hiN/2RCXL2
qBQF5702rBPPN9mP+gqMfZPlB0dld5K/AfX0gQTu/HqSyAqstWJC4AqN/u8mR3uxs9qz5YTfVms9
S8mMNI72vdDzg2OzA15AHIsyNV0MHsSwx64H7ocwarIMmhquONkZ1MVoeY0Rrd+1Ru0+2q3UWh9t
VFXewHQZZz+BzdP6gzYntE3V1MwPnpa7n5yLF8wK5R1E7K9/ToF5XRJnToFMM7AOwLESDnhKPvoG
gBz1YPvulAG4Lyidwrfi0bflcyd6lTWWRjKtJLJxwhyIDDRqRtCxOrUBKzOMPzkw4ryIygNv9S05
ZAl1dc0n9vJM+xk5N8kYT0Uoa/3BzPaiIdUAemAqawvK8vozwlgbpEWyi2BUnBK1+3H1bICdB2WU
/VFgiKPoSkN/y1/Qh1pjOqC4qwTun2TU9WOUzke+wHtbQhxC0mdueFS5rueSmR3N/FFDFrJz0r+r
Gv0J7AWjH3k4ya9/8ohu/f8Otfls+trFldqz+ypJzk55UkeBrWfWh5ej+95nE484QQMHkLpl7RiF
NNSUjVmcoXNOExaEpxXI9PkPRiHvE2k6/2xr3HJo51VpMBdekdnfyJmFrlnZ2j8vj7J3hHhIwYrk
X1gSm+BM2SReuY6LABDQD9iZHxQcNb28lUY3nY9QHTtvRbhh1NIMkYbdiO7Cv8BgF+GMYBm7p9jG
OkEqzOW96MB9hJcBYEU7Upre23yiV0BoZL1AgF9vvmKqLQksXxnw5sJdeMgNt46V1ROQ7YMzuzc7
ShqAA7HPoCe3yZZiJRubSFK5bZJh+JgoLQayvWpEfheu4dceJyQf2ZKj03WzGdmC8KscHiOMTLS4
nuCajnM8WV15seyufqtlheVVuXWEoBd/y1U+wyi8s6GC8g5h9TYHi5pUKy+DXmDB11f2w2LKmW/2
nXGxYzuezpHagndXJv6rUq3akfr0zSIyOo1YzhoPId7gG+SlNIKs75I8v0BlbOG66rGLpWHl4qB9
dKXsfE4BWIH6ApqYnGizXyBAqBMOwPklDQfHRpVcTs/trKmvPXaUXn+T2E3KbdSRNiUwxC57DZGD
7MJ+iu/LyQi/o6vaeZGBa5SXKWZ9evmc335C6l1kQbTnYf5p21dWPHSzMQ9NejHiuP3gSPL0K2ym
4Q7SinOAcr9NSQD9gNsSonKQa9FYvd6SpbHgPJ+26UWZ9dnTZmN6wMB5eTsu8vC9rTTbl6XBeXDG
qXsoMVu5VF2ZvIvAXB1M+nYxiZ/wy4ROj1hL9fqHjIXRhUZRMOmp6O/lPqvOSZoqB6PcnHv6Ajwm
BBMI3iQVqc0oMXrAfW0nl1ZWJZRHZvvD5IyLFyXr8Fc7y8u7alqx/n55QffmxnkHSQnGkMi9Ddwo
nFCCWJKLPCztx0GT5w8ttevXwuCYG7PDdQeUOi+FzReUkEC1c0NPLg0ybl7W9IPbUPs4+II7O4Zh
RCqHDKH4mGKyz54ItlnUSjQZyaWf647t0NUfgeWbd8aSNOe0tmJUgGM9d3VVSj4svKxO1TgmP9GY
KQ8yiN+x5DrSCYwBdCexfdkzm9VMinFgR9fpxeksffVKEA3teUWa+MmR2mx0w5j63AkNEctXJQdC
oUT5er3Ya60VngTd9XFZY6VwB2u0f8K+Kn40FVHFpb0jh769aklgSMZqnBXQb+9DvR4f8t62H6Sp
A+6rsV90ry16fAci7GLuLH3K3qJTiP8QZK7ET2h75++musz+kmxkML1CXY0HfdYAFpFLzoq7rA22
f+i2d4ZflqVyiaJIEfbIEmYpNT3d930ymthFky3bTKco1ZNWOHl9UnCQmx5yxBDNe3MJJ79KOpRu
qqVplBPm2dNBELx5M3ExA5gDLcu3vn3y86RpV1mLpQAt8iiEdjaMPto62c8pXUcK1oKdlqyK7MZp
hbnMkB8lB7e3GikcZV0KAWDfb+ob8aTVEc+2FFmWuj5ba18/rKXdvrWrbnzU81D+ewF4R/3cGQ+2
2e3pNQB72Apid2D3AG1db3hzUhBJMuXkoki57ZtdCXQmbY80vG8/MM9uLmusbAj5MFOvRzEyuzGV
zkwuyWpqb41ySifRxFSzM3y4rnHhbmDNYqyL1eAWSf7gNWYOiPGVkYqXIN0egggIIk73JkMptAjg
SyhFF0cyQ9nNRkk95ehSH8E1bq443BxAQYunGSoBVMeuZwuZJzGNdk0u2pjZ7yibsd/7xFbP/div
R/wqEQauwgSDUTAR/B3432j9XQ/WwAC2am1ILtKs/MKkD3v5RXmaHOntKrXfX/6AexOzucGQgqRd
ddOXb511qKTKjC+VGrZ+j5P3hbuleQgBnp5fHurW/4wasIBXCcFOQADOpkAWVogmFn2eXEyrShNX
bSjHjmu0YM89rJiHZ2baUaGSkZ0MgRNLnr2E4fd6SaTvU6baP8H82j+GCQiVq0IgR9GwaEO37K3i
tYUGfijNeNAKxGqkljY/FBC6WsyY4l3GblQ8s+VmGns782Z7PhLnuTmsYii6hSw03X8wh9dr3c5T
TM+GY2SnSA1irkKfS5nCg2Oys8qofRkUMmiXC9TP9Sio++k21ubpBe517OeRxFw0OfXXrDoiYNwO
RcVIuAsRfIi7W3pWYTbR2tqxGuR9lv2V2xQWHK1OP0ctPe2XN9RNciTYlIhpoBRPOVTeDlWSc9YI
qKiB1hqfija6r4fkA7fSj2Ypn7q2fvVR0QXATcR0gh7B/fojygkFaygkSlDHvX0JBwxWUkOt73ME
fg+Slp2PyFIBVCJnYQNuGZYtQMgYroUSyKX1abWz9Q4Qf+YqUh8fXBY7I0HuoNMkXiRC6u96UgNM
OgjxihLkS6FhzVsPnlmbcmBb4M5eXq7bsMbjB5lm5IpZMp5b10OV7ZJPpo0EcBWNvTfAOFLy7Jed
SqeWxsbBYLfnisG4FmAq42RBLnA9mKlFqkyqpwYdwfytnIzpYy8felDvjkIFAWUa4du1hScrwI9r
CFRK0Hfm8pSksunLcXr0DL9NYX/zHEhgLcGG5lV3PRkEurHjxU4EB8G68ee01O8Hq5s9uNhUJY02
LB6kpM++tcqQ/6w7HefesbD8sa5e7af7+5cIpTbBmL4p6cR2BJOvthT0JyfLUyaF/NVw6nNev15L
j6FI3chlaHRR+N7szE7TSykBlRPYcWs8JE2ZXsqlfbWAtBhFvOCEBTbZ4naUxLEzJzUUDI+V6a4r
9eEcrk178NRRbrIloT0MmhoCM9AUWqLXKxiHzWxHcUZUNDD8mTU4aS6SQ5FHAj97utJAX5a0niTf
Gd/HFYre3moZxWPrzFGAoVTnVpFEmyFrmkeU9Mb7JZqb01jALXQ1KkM+RlNOcXCGbmODIcwK6ThQ
BkT9cvuj7U5K0lZHjzGNnIcC3RG3nx37Pl7rVwsnci2B1gECByuVFGtz40rzHFqDPkMfR4PaV+ze
8BR7OXKhvT2uAhnEZkLYjDLaFtYOtlamgu8sQRHlk2slfe3mxXIkub83Ch0hUQ2hI2VuKVF1XKzI
38crxKt48qhiqKe6t19dNYMehz4TmroK1yD40OsdJdWS7eCaO8Nk0bUHOyzNf/UBF4/SrpLv7bqi
ZBI75be86lX/5Tj+G5T4//JTUGqiOE0TRjTVYSv/xno+e1GvqbSYK8WVoGomGbFrdwm7ISxORp/O
sw/+RKQXcWaX7GlLC7DETsegTqlUIoamtF18dlq6ah/m0pDTJOi1NFcX36wlVR2/DDHkR8NtWSzl
nzapu1WhDG4nZeSuEiVSb1IRYLJPMuJLxScJbr3ltbmBlL0q4aB8h+T2Ol+icVidoB7bOTvzDtZ/
zWFMvvI5FxUC67MM2E6uzsYwDmkXVEU41RzAvDQXDRWaJOOOb1rDDM/RUIStF6c8dbLYTSyTchqw
PEnuoNLbZTZQoQRKqcIffFrCBtrn4kbrtIzlh5K6ilTD7UU7IHU1s8/+MsJuSYOepLP06zROG2/K
NaOX3iZGPP2aq0QvvKVQ6waX39B8nSeo0Lggf0GeWzSziKlb/EqEeAH2XzRkw3J1TmbYl/eZnSRv
pWWpjlJ9UTV9tkX+G4vugkC2klRs8ZldhMFPPgOatEyMPJD5qL84ZtzeJ5GBBOWg0PL3GmRhPsio
6vwKMx1Vq4Y86Ih/fX0Wf8+ZbFdsUzYqqp6buBI13cxHBWUQDkv0bloRMcUK/VXPhf8GQR0AiWB6
8kx2k11ndqvOiWbSuFNQZHSlOkzejbPRfMLbZ/335cO3NyEe29DJaTrwONlMSEJ9DNse0YHknvcw
1FbNU9s4Unk6GOc6W/tvUoJdSaBEaIE+4XV8ASmJbIk01kHk5OnHdJLNyJ0LK76vxooSVDtUy1c0
qHvDpWZmPU7L5GQuDgFNdx8acRG5Ruzgzd6qWfS5thIoW07RNG/ndJ1nl2uWY1Q61oTt0TpLP1Cd
DD+tST68CfPI4MGLkD6GZ2kF59Bpq9q+1GkJ+zGP2/mL1UbLO6NFmgjT7tBxs3Xu5JM14Tzvlk0d
P1Vd1KUeIjWa6SbR2Br+0CjKD/Qw5gnjL6n6CtOw1c5tq1I7tXk6yMhAdvVfKjQ96y7jsfQoSbTc
jz7q7alAckFkivDZNPlGCqEEhpR3dF6l2QHtkoXKG+qN6+eXl+668vTfyj0fRWyhZ+E5xbtOLTM6
YaQEiAYthu1VxaCeR1SkfDvtcxYrrj/xpY7Q7NdZzv8Zme1CIiUS1e2eqUknuigHOBmSul20vpn9
kGjtKfgPfLA7Zbk0SpR8siN1fBONCmfl5Znvjg9Fkcc0WOabO7HWo0lqFPCiZRdTMJ2K9EcsZbNX
1FL+VHdqjKajvrzppdH5ktStcgAJuT2bSBGKwEpCacBZ3Lw5Bl6p3IuigR9m9p2pjetbxBaOQtrv
lPQ6tlJD5nlNKoP2AE2Q6/XtnDzrxhxtJK64oXEHKXbik4xTsQEnSrFmdA/TwvGQy0FKCo1Oim6m
U6QdWIm0/tuCBP45HjQpcpuwaxy/GZv+aTJmNEItGIfv1CYaftWRjYKV5FTqQ6VMtnVCygAxNOHA
8K+mLOuXTFfnAmYEuYLbWdZce3HeyAkXmk5pZx3bJDz3CAfc102mJndjh98G397ML03X9J9n6lFH
PVIx7813QdYGPxOh1AKobBOx+NR2WSQoBIXjWKEem1v4oQ6fbE06YtbdxkYqNSL6ollNA2jrUA7M
qsUIQOhV66uhgF1bpMeq1MugqcPa1fAYPNLK3ZsbXWTwchT/6G5v5qZkk73OIWF/qaLcX9Pkk9NK
OEeq8XgQPXY2scK7Tv7NkcYAbJP0z5QjByXTqwDud+WPky6f5Xo86srcxigk9cEv/g9757UbN7a2
6VvZ6HP6Zw6Df+8DklUllSRLluXQPiFkW+ZiTovx6ueh7O5WlTSq8dnMYNANA4JdWkWu9IU3PCKL
2LFHXVd9qd2lF0YNVD36k2hlCEwYxJzXatCVrR7olXIzN+b56+fDC/OGcidbk+yVwvix7Wolykoa
BcJVYGAW8q/xx2TEH5OyfFhk9PX1sV54jxyBdO44ECiTP3uPKRIrWVm3uxLT7SCmyBoWpvfrmv6v
b9P/iB+qm5/Lu/vPf/PzN+Sr2iTGr+Xwx/9c1w/le9k+PMir+/q/14/+/U//c/gjn/z1m8N7eX/w
w6aUiZzf9Q/tfPvQ9bl8HITvsP7L/92//NfD42+5m+uHf/9x/71IyjDpZJt8k3/8+qvz7//+g5tv
5bQ9eZ3rGL/+wdv7gs++r3op/vW+L+5le//iZx/uO/nvP6jvvMHPmoCZ6jwshBWrOj78/Bv9DUhM
CgiEn2t1kLVQ4m8t/v2Hor2hNbTS3cCJkZCzh//4V7eOyN+Zbx6LDnQkEZBZ5TP++OtFHEzGP5Pz
L8z9bqoENRm+zrotD48kMiXqCivrCj3S44OiE7jSu+Uid3HZVtdzqRTvk2EYdZ/crLhrFMc+M9PS
uZ3SenmrT8O8yTDt3WFq4Z7SVnnpu5Crrbr2aBKspebDa0P2SLR15tTvHDGWhT9aVSQ4usnOAn0o
NXcn2rn+AVVrvGwqlR3fUNO5tcHwfMZzpD3leP+zQ37wctAt4OWvACGHDtJxlR3uO/QdothdRB2Z
MpYK6DiY8qj/0BaGcV3qsfOuWniDftMO2MS3btwVm87Npku3TSw8JUw4zr5W19lNNqRLsomdZUpD
ZAiojzVak21nZclS30zytOJm0nELEvjp0kiXXnmHno95ryEuuYSOXrfva3NpvitGhJhhxka8sZLR
tLeZWJozUCHq+sbeL0UjbgRYJ813Sq91/LF2Pc9Xui4a/R5byHN0vKJoo7bcyUgJPAzi0qtlu1wO
o5V/07KsjoNORz4joJ3UgqxWp+7tshjeFy0tjd6P4hYtrqpu6Ip4dlvUPqIKyRJkk6Zee2NSq9Rn
ISj6hDi5Bsh4nPY2yYYXaLV03jZgerHY4M4d/CpqeofEM9ET/lT073qhdaG04+ymqLT5rnD7CJxL
m1b3UZnE7yxnziY/TibtbrFrEE25lxtfRjdt71rKMgVH9JR3QdvOse07sTZ9Sk2T+FzGCvpamdV0
31w9zeBsir76rC2ufjst+FT4ChkRbY0sci8HT0vGINGrNH9rjYtY/pzmcar9FA5aiuWJ7aQbxR7L
NFzGqdd9b+yV5B0FEE3dY2Q30juyhOJe5Ys6O6EjjdxDGbTK9pPQWu2SatliBV1tD2XoaZ3XBn1d
Jx+n0Rpbf9Fl+t0RbasGaZEkXxUg4XkYSYBjvitrrQnNzljkZpzgf/iI0Q9YoyhdtsnUanBCtEPa
Lky0SgFwGrmzuc1sr/J8qHmmGWToMgn6jxWSLN0kytk3sVxoL7oUYY63q5CdemkRpA1B7en4RqGB
W36NRKa4fkkW5WyzoXaR/5rUygpk2dYPk1NW1t5pjCUOkVyZym3ruv28GTXIEnulVsco9FKQN37V
Yhflj8zAh7jEaxi3yjz5U7ppkp3ZVIdwBoNT2qPgsGiNjyGC029bGS93vddpdsASXq5SyPXGRWv1
rRPovRjM0FFKqSyBjnA8vru8Nko4spTv8mxpiSuxs+0CM83EN/QQ7fp8jKumIm8T0xA0XezkZ2Jt
eodpGxn7YaiptTWYVi++EE76Nut7oMxe5WphphkJNPeiqIdwlFmNxemMmKVv6ApZXaW5zQ+euP5K
O6QqAq1RrC4sHBd97yido2vHSlwR5HI0Lwvi/ynESq79aI/p9J66cv+prOtaQWNhZt0popRUZAYr
zcO2sGQWpp3VG6gwQnkIMQLV37YSfI2/RHOBmAo6KCnbbTLuc0GVn4DZLTVf6HrHKilADuzdzNY+
O5MxorC0RM0SwjAYrmO7SO3zJu/3NeKBow8l1ryjD98VQb+gRO3nqSrtbYLtiY5QpKlNwRJX5VrQ
jZC8MXXwGDR7BJurNpu+DEaIQm9hvdXuJlFS+z4dk+arqynGzaLGTe3rHO4boVfUqKLZQyN6Bfjj
fjupwvTtFq0wf8irWASj0kL7VQcdPABaeAqTPVHBRKvWZVtMOi9rk1dR+UGgHtFtM2f0LiZVryz0
eFOXXmg5xmrQK3r+zm0G7Z1t4wkberPt/cnJvXybRnVKfAqEWRO6JVe2nzt98q3Oq/m6yMpiCTxR
9KbfADCybvQ+selqzUK/pxMO3xWiGnW+oZizG2i3BVKLdTmkgaX1XhngVibG0Is6aQbzMmI91WaW
W/H5OW/Oegv0yaqz+91ZOmcXR6bYAw/jHtUcpCiC2hrNCfqsCSmnX4G3iP71xSXi4LPqLzJDRTQp
qB0i/ZFmH6Gqyh+1QDo5FFGvf2+FE7t0Whwt29aRZinbhs/ctlbXJZt+ScR1qcm0IAFTzD8zrcr5
utGUjexZ/tuUQ9zMSP929UPRiibaDlOymBtncpG4XqScGx9I+HzbEy3M5wAdzJnpMepykyZdVgWK
NkVXHphdI5C16K4iTPZkAGinwou7shskBdNhBCrMpDQ+gpzLn3YZs/G57bzOzyOJ8vkikjne047G
Vhq9QZT/xzq1vqVwZKkLqMPnlY6jAiZKl1+8pd8KU6+Sb23VVT/kYUz6f30w+yig8Vowe3lf1H0Z
H4axvz71VxhrvUFRl94yhXyU70ziyL/CWOPNynBHggcg5ypu+U8Ya7whcKKUC1oE3MAa5P4Txtpv
+NfAc2hD4EVFjOv+Thz7LJeh74hmu7HCmCiPH5sDmEUzKkYfm7BsMA1C/ELdja5xykD32SiAssiU
4AoAh0B54ah80qhtjvTOqOyGPNehtShR6Fj1qWbq2it9GnWidgKThR4GmfRa3yQPeVodG2M8yOzc
i+AUz4v0XT3XAYn29rgz3Wj46qgEDD6KXcUp/56XBmYmYYaBzVqlNg4Htmq9UUE6K4g9FWS5RVJf
aNg/c18l/a51vSHs1Fx992Sl/cpInmYgxxnv+rSrtNSKxaBqcMzgUYoxNQHtKnhaaeK94gzdZrZa
87w25uHKyioZvj7eWh04ervAVVc0MEE2/PujJIOAZl7ixVV2sZZU/lB3D6Wufcy79mZ08/dFpNXb
Ih3PUb85QQTT1nk7HhleJN3itQKEqNbh6+WCj8wYzYmzDADRV3Vq5xBTMcIlaZlb3VrEZipVb6sa
dDEhDam+LCrvfjKbD0Mv2vuRkPeU8PcLL38tNOgAHigMAlA7/EpNb0atJo34DPxpyo4p5w3SA3Jf
xdm0HdEJnU7UP493ELNNvQ3Uw2NSS0v1cEDbEUJpSwaMG5e7zm1r8PrFKXjay6PY1IZAB+Nhc7SQ
XeS/i8kz4zMT+X5612obmmp8yn7yhZf3WE3lcUgOYYoePotm1BOAdTBYdhERRqQmwXQrqvhS2FYB
+wsC1u+/vdU+jH4szCjsr9bnflI3V2cLrwezY0Qoy9dSy/p9lmjO3es75LiSxxxx9LAjqQfggK0f
vb08wSGJ+BZwH8aroEVi6+1M43OHp0S8eX2oF04cEmwgoPpq9EzP6PCBlJbKLfS95Cwllb8VYu2i
eOq0MUQb5f7cWdaOqMk60Q0DOMTvPdyKFAlRoaCs59FrP27+9fpkmA0eNbtsKkuEKIxBvwIaY+QB
qFzlu9Z1pYVAqCejTa2p5YNCuUi5kE2Vnie0C5vN4MbyFrxYlocIPaD1hSBX5IVOGa3BTKoXMSwv
pXovFxuHN9HVzhD2g6HOoWGn5lUtHGy6c9cczYvUKK3zsjWtcZuannWLaVFVB1gJt/YGEoX5oa9L
K/PJb+P369euN9Lqa4SaNeGofjQN3rehohwSYNg1Nj4Fd7fZ6V3bmoHwjOjHGPFufcuJ5+GtXptp
4yMOpZth33RKF6LjDW1TlKZ7aS56+k61hHNXyISvFw8EmyGBYQ0ZWWb6Kr+FKoOvLWICPVt1RhPS
Cpb1NpXOWIQGENpbstcuCZy5LIYgLqPVZKI3Nbjzqew7mgAYuReBbiyO+GiWZi63DTC2eJcWgzvv
UmSmzU1WRoW1gUiuXDswKCffatS698WYDTgMcUUtvqWNZhxwtNUpSjRedGl5nJOBMwzTF9w6JNnf
UpCLZcuYZVvDzFU7UBE9OXcnx4b+pI863Z64+uz9LAc4VvcNwPVaJHgsGABtnT+h061Yvpk3BdYg
vP4imNZKQ42Qwxf1sfxAt1a7sx+LEpGnKze4wVX3vRIrKBCjennXr5WMSBm6kKRN/+6gwZz49WPR
I7JG2gvtYzEEhgF1kZRgIBBI7e6Lx8LJDPhg9MXM3Ab5WlsRcSeWQOhWXlOEseYfiAdjdotdqt6D
e6dAo6+lGs1omn7HXMA9FYOs4mBcCztwm+rlsheXJODmJjfwRtsCHcjPY7lWhipRkGQNfUnFKHms
HqlrIWmiopSSNvlZ1zZnnqwNe6t2hnINXJsqVN5nzXf3sTSlZe4S0hM17/t4Ku8s2hyer5JFZoHx
WN1KypRKl3ysepUUrvaxaoxp6GbpnGyIabKbti6oljmPlTN36KfLMo3bYtM+1tbGvqXOVq0lN/zj
jOt5LcNJ8AxpUOQJ1TnnMSsQjxlCV8rPSqFO2QYiuvXNeMwlgOCRVygCrCe2Qfl0lkvpDP6QwIbC
5kerMr8s7NIO9GwxlM1MYe+zE0fqJ/IP9W2sRVrkK07SxBtFpuzICcTj1eSub89qylINjaW3vtYu
0lLbRFOwou9FNojASE279clOrW9mVBUZss2Ol192psw+KpFV575lpVOEZ1atXbhuK3J/cKf8LY4+
0QWde8yoU32G/R6Zc9JdpIjTXVGC04BUpXlXh1aS2j+0MdXuhDbL9kzGAAHYt22RbGZNT9Iftljs
jyIb9dQvU4/f//op/kJks+oJACQieMQ37pnL2ZCoelGZ4gwTy/wLhmj4rtRG6W1pD1rbHHM8Hq7V
L11lsWmWO2IbRYAqF6daznLDbc9Uezol6/c8zgNcCWkPJgv0QPKQw6tFp7drLHMkzlzCjYs4Eu3n
BMzlHcdv/0HITDmjZxSHVk24M7CgTkR7zy/R9T5bJUqheUCJPBq+UZrISjSoQ2rT9RdwD5Ygqkr9
bRKVztnrr/95tMNQKzQNoBWgi2N2IrVMVVa6k5xN5fSd06IJK6Mrdr8/CJpfsEhXVAdB1eHrVEFO
KW3M87h4Fd0ojqL7tV0utEb+6+8uzq9s4Kg7dPTjf/7fzMJhSrgGuRzrgBfys3n2rKn0icYQPaX8
ntQ6eZqNP/n0r3xc894AJSN4wexlnXTm41c+rrlvgKSuS4Kmzhpa/ZOPq2+Q7SELZz0CkKPBuO7U
v/pKpPFY8/B3/EniCULhdxLy4/X/6EOzqhJQKgDfdNwO9ij1unaCE9ksPZQgSImo9eW9TxtnPH/y
jn6tmacZ5PH6Zyh82gB0EdM9FgEOlyapntHj5NieL4LWejdRK+qUTDtxyL0wyirFv1qdUdAgDD8c
pUyyxQQw2J0TIPTh3APq08zoFKx+PRaeBqY8C7r/DMN+xmnl8aR9EuEXeZO1Wt5052o7OUHa5hvc
QC4wRr1wvdGAmU7Y8/rbe2FEDyd7klL+ABez/v2TEe3ErGtsj7tzBcvI26LF67Aamj81fU6CyomM
c3ijp2bsOPymbbnymakwgBKhl782JZ+M2SNf1pj2Mp/3k/hiTtEDykS3i1p5QZxnu9ef79lCXMei
tWeyDKjeHFdT9EZDSGcY53NKHkZQu467MRTFDTDhOOX2+WyJrEOt1HcqQ5YJmPrwsebETtzM0ufz
MbfHoDWRwU8WuFGvP9BPM8WDRbKOA9GDIx/dKOp0h+OMNC2UblTG82ypV25lt+S3gqsOzVoSUbQy
aN2m/iCSoJBfUyWNpQ8unbaXqES1pe4OkXOaei9slMikSTEOuP3GEmyM5NbClUsdtGuNIomxUaU2
9H5tWWNOiFRAaGaDQIpSUnM2gyg3pevrTdLPdO0Uuisd19tH4Zhtvo3z1L1WjDZLwzm+SpwietcJ
xQiGOFZjn0xHfGocDZUFrzH6NMirwfsRCy9zt8SsmeOr+mhbYeMgGLQpmj75NNWNujOStrT8Ti7A
yjX46dFG62nT+XPp9byKqW7lprWS9ltFqc5by+aD6mMZJGhczkZ/t1jSxpUOr1JY5hTMdaeOH1oL
YawgjztN+l2v1h/gSXhmAMuOsrcVx50dQAbFdNHukZUPJ9OaYh/vZ1rQheZdG4OU1ySr9idkrOci
FEYVfWvqtCq205J2I1iRJMNGt84Qf4tyqdckAZV9Vo+W+6nHBflDGpsYUemRHDdq5iqXsjL7L26S
ZjK0cgpnvmmRG/llbo5a6HXVgORaAsE1a8Y8sJ3ECXjw8RIost3QF1SovLfuSvcu8x/TUHvb0Shn
TAiHhhC8rTN18N1IR8kAY+s80LCMvAYmNMqLuXCqwI5pOfpVkWITniqLc6cuySD9eGh0YyPnKYzT
PP5S18twoaYm5jwJVQm5BSXd3NZDj7loNhuub1SDASIzW/Q2dDIIVp6wXBhkzkhv2HNHL5gSmA+b
EhIokT3t0hvVTPTLTuptdm72Cd+yEFVkA9QcXSU06c9uJjPPK38SppQ3dm11Vwu8jK/5CtziIY3k
dirGGZoQwflWGyf9totppQZDmjIDRZrUNHsrzfzYT7T2/MEuKuzhMOzCnjCNdNJuhftpoNcTpnZV
09uunTSobVfs5hFfxCDtWjrFU1PDjCimQgXPqZTOOy+1Z2ubeCo9vCzXko1Hb2OjZWUcXZRF7XhB
6ZjJcAFUI7/owWyX/jKbHo2uqTKVjZ7O1q6wWfy7sTCYEtq3Ourykf016yf3xzCbsvSrUXRYuKpl
vMXYQ9L2RXs5CtuOX+XHbdwYIACEGodukoMgWLS086kkT7mvFkR1Ye94Ka19GVaomtK5dpL6unar
ptiaWuvMfj4qMw0isaQWhZFRsTZtZ1ZAD7rhlzbB/2+3PGKHKNo/OdOfhXlvV5TPi3HeCjx6/PCv
KE933gBPB4QCXlAjZuNG+RXl6cabVdVLXa2QCepWVuYv8JBFHGdT12LrAKZHy/rvEE99s9Ln0DJ4
/HPFz/1WiPdT6uefiwjcEgEk3xeNCW48+jzH5buoLmIa9sZ5Po/xB+wEi+96O/eWr8o4+zCgxYkN
C2JcnS11qM9ZZThBJjV7H5mZQQULvvWMJJrJx+ZIyUKr1bUJMdzMuB7qUWQ0Q2sr3yREWzXt0Sa/
muGefUUPxrhOBrwc/YhTK9/loLo/Z/1ov+2TKP+T0nochVUVtdE2GRztQROjJ3ytn+frfO7Z22Y1
d3edp5XXTbGMXxWZ9FyezEx9VkcDd0U1TK0MzCRuFh+0dNWGSKSaZ8CwUxq1tdbeWlmzfDcqcDln
JZXYd0M0AJYxcpq/oQVfOb/pEmQpgqTyKmtDY9jm2ko4mS3owKU/twV7WSlSED9KntvaXtNAZnZp
ai8+KEvzwzSOUICSxqpuBlsZt1QFZQScZh5aLuR6asOpc2MKCxZHdOBVs35XW0V7k+QdAItGb6tv
c2um5pmLrd1bh1pq6Ru0mDNf/8yrHfW2TTZLbipDGNtCv+psl4t9weuY04ymdphhG32BISOf6IkF
grLM04vMyimVdYpxlSRKVm6BL2F3n3oOuBsTq2FqFx0FCF/BynreRkWDA29PLHNuN8K7tnpP/QRU
ZPkK3Rjz8wgfyH5npqPy0R3HJtmXUdp9p6Cmqf6cLMZn+C5mGvZWmYhtW2PYjsHXGG+nWdiX8F2S
Jkj1pRJXiwKGyU/shUazMVQoktlo0pdBOw5JHXp6N4bD4uIOYo92flf1jvuZ6ortbEWWare4elEC
4gOUE7kRuOgjRAEAQRSzuCHRGu7VyvG+LO2Udpzs2hIjXghcIRCaPnxzc3A0AZ2yAT8OMSeePyat
+lYpgFQIrH5jgMcdqKjMHtXoXNbrrZiVjnYzjEtxb81d+dnEnW+T1YsJiw48UBTMlIoxLZYe5lSO
J6mblSKrA0Cx2mWFoYYXVMhiJL46xDpQHUcdVX9oltHBEWR29mykCmkDISc67n29Hdikf3qLE52b
xtwUgD31+gvCLVq3eXKQvZCLHUbbqwkpvYPVTQ9kHFWsY+vsSNZ9nsF12M+aMsNNWkC1UVzf14Z5
Smn0MHH5NRQIc1CS/A8b/jAKnlCGKbzEXfaR6tarrsJda47vqINIXwrrC+oa29ef7TBr+TkgvGA6
Pci0kNgehd14UKezg+3vPi9sUGiOsMN5Eo5vGvnHrhTvXx/tMJl4HG2VK6K6tzYpQOgePl7bWLXt
ZM0EjxavabNVogB8bHNivtaU5OkJjswTJTtqAQCqgaoe55sKdEcNsvi4j7Oy+o7zoxlW0zJgth3l
Z1HTGZ/zNC2JyOfkxNs8rM+tz0fTESA8Fp+IJHGiHT6fNKKmsJx03Jta2nCULV2oN10X8nXmLdip
6qabwNt0tpFcWwkgoddf7/OFCnjWoW2z3pAU6o5S0Daf6sUYx2GfgSjZRI6iBDhHq34ZweZ7fajn
CxX4A4PRjgSOzxY9fNIpgeCo96XcF3lvbniTOWTkeoXit25IR8/Y1g4kwNcHfcSnH84s3S3KIexE
YOyAFg5H9QANimTQ+v1Ex4nzWEE+j0Oxqj5FlUvJuihN82uE2eZHqQoSGRxdx7u1BZaEwoSXcqcB
GuxDDaBZjtGFIdYegN5pfukAQNuaJao1QTXZnW/phNag0cbrUdbexyYeHcM3pDGTOEba+15m5llW
2/019gBFziENN8SfU5ndNLG3PLz+3M83KefxIycb3UAAK0ebdDTNcdRJbvddNJfnpbDy82To6+sh
JR/y+vwUyfWl8SgGURKC8sZJdLSOrKFK0k7v+31S2FXQw4y/HAuwdnHMuW/OvfZbdeV127BlqHQ5
a8N0JZ8fTmsWC61EO3bYu5N7s7pHXnmu1D/MJNsnCifPDyAwChipU88Avc7hcDiSCpeD+MLu9kPv
RUGS23kQ26Y8UX565JUfrVMTKgqTBdgaifmjYXS0pWjI5HIvKWBskUITQcPaRTzVnTYLwLjzobBv
J3pKOylTyS1pzxcRUST6dwXZVysfAIniDzRgjSuS+MOixR+aHPKQDY70xFZ+fmjRsMCyWqM6B/Hk
WHKVPj/wbVft9kbUzttaAMhocRh/9HrDZ6783upyOncK4Qb4/JyCNTw/swwKjxYdc94WsffRq0rA
bJKuzd4+H5Zsr6eTHdD/AowvrVPE+ueTb5JuGABVwMkwOUe3j74UsoOI6+6xfdPILTGyieM62r6+
WZ+/TsBfQMfoKKho5q5F7Kd1QBb57K7n0l44fbxtvM49H7ntziCARduuG7IPSHt5e68okm0926dK
g88vP4p1pFZAKUA8UZQ8HH4pykFqVuTsG+jwV3NvXzb1EJ/TWlu2BDf4Nwyadm2k2qmJXCfqcM3j
qfDorLfyCoAEHQ5MnYdofEndvenkn0WD0au2pBkmWqRDXayeipRemEzuV+i4FppGdIroCDx9zXgB
tJkJk2SvUIbaUH0Y9x234ub1yXy0rj5+KqaTXBQCxxqxHg4DjLnp+0XR97oxestGaCo3gsNSQoWj
4LJQwT/0oWuO7kQHfgg9bxIP3O+VhvCjNv9pZN0oz7kpJywtbK24c82hnINy0NybpR/jNKybKXqP
ZlvT4zDY6A5w51ze500DH4vCOqpMRjw4Q9C3ffQJALKt+7M79cqZ5ZXOuY2Xbh5zqVFlnjpjG5Mt
ZJtIU2zgtVllUdKDUxf7SEx1p1w9jyXRObcR8AB2hg8ttzLcv8OXA2B2Lt3S0vZwCdx9KUaMIXSR
/3BB+60vKDfeo83fV3ukbgzd7+VID7VUOqvxE61xIayaxbDPY6GasInT6Dy2ldI9cbw93xAIWzzS
flneFOaPNsQYLbK1rFjfU8FKbF9zoxhADvpXaRiX7vwJ9IRDeXkQTR+iYTD9Hj+Syw3oJlcARwKR
IZ4PR8gjhegJ5UyZ7tsln3aZJ5ItZVwtWHq1ORH/HfWsf46FTucKPqV7xEFwOCEzrXhiLzPbu3So
/jTr1Htb6Wpz5vZl+tD3othKAVBgKHE2axT1k/CaOcxT0Z2lWra8j6rolFLcs+PdQHhidSZhr9JO
P2Yb0ROijgBgZZ+7gK+AHXHZ5XV1p+XWl9e36rMDYR0JvzZMQlQEX45xZG3S4uQuknwPCQ2lTmsm
jU4wdXp9lJeex+DuWJlv9EOOsX41OA5zGqNkX434TdhprV9VOlLehp6PJ5xdXnogUkGPQgK1L3TK
DicTJ4HcGO003QMJWEKFYyJQ3PqUC+dLawZxV9shWeLi4Iw7GqYE3ge2Itmbk9JuihxWBEujvUKG
Zgg8BGLCxeqyyxxMFN5sVrVdiUiBVRfZ1jNi50yn2HdiKp9doUwlIQmrGDtIIv2jmAAN0Lz0ijLZ
D2OLtiVNyk2eNtRvMyy15WxHFAcUzGnVpNu4St6d2kZrfHtw6DP+GguxoHBPZFsdvhIrRSMvXcZk
r6FqjcmDU16mPWaKUFzbs3bx9A2SZ4MvnCF93xqFCHVntDepjUfZ66vthSVA8IgqIU1xNN0eyYVP
eoqqRY0cVnC6L3Sl2EZNogYlcfuJ5312c5OL87s1OrTExcCkDx/XW9xqAa6V7bvGVnzPXjD2KcAC
adUouUpQR3n9qZ6nceuAq+w0uo4ESMePJYTIepoy2V64aNaoGoDZstuk8gKiMA48sYx3cQ3jvVS7
rQS+tMnIdX1SP/fMs4ccR5k2CojfkitsSdc+kP0jG83+akwie09PhEuPBmTI6Z5czgjR+g2Gxmdg
ofILbfbmMHbTfNf1zVfVpOOGgZJ2QoX/pTdK1xSNTOis4GWOzmEH9ib897Hea30abZbFzINxIuJC
jEFsYQyWJxKox2jncMXi9knYx1ohmSIMO5zCagbzLYFE7jF3NK7tJqWuFiU1TRdZly1MNiC8F0AB
7CIYBbgiP+nThX5xPoobitn9sKO1g4HT6xP9/LAEB49tDikbtHPHPDrBhlq3ehddr70xWEvItH8H
EtcA4FtOnWLPTwxG4l0/modR9Tl6/jhuwWCUstkjdR9dWZ763axlvluQ3g69tsi3jXSNMIOweWY5
S3LipH7hOVEzJwqysFoFgHI03QLFt85KZLV3tGXaFRMUvWaiy0pn8pRAzOOTHM00IH8EfuCngJA5
LoFEmRp5WmRX+0UKnAqSOtl2kRhuB6/OgwSJ8n0lJ3ldNZHmT+XYbpXGgvdQNcqZrc3ZxWIllE4z
y3ubGAijjaYwr0tMhC94sOzb6/P/rEjE1ib24toHXIUKydHBgo0dZDc6u3vbQFFei+R8aavzfOOg
FHljL7l2g8X2cGLQlX9zdHoDzkEXCHFaLH6Jbg/3QswRAdq2S/cYemJap9NRATBpbHQRP8Tw7Yi4
Bw2ia/cJqO5+0PlhNmi4KEpeXsV6G+0U3Zk/uEqfhLoUZqiSim+auSr82qyYX1eW93pXG7vEK+Vt
qWmL7wzoKQtVMa+aaGy2fT1qZyUWbJepwCDHWly5K6ti2sTs/fOc4uomKshYdGhw4YQV9yW2OUj1
DF29W4xp+O1rhGIH+e5K/NZRTTwKgWfEiI1xcJVznHqSANKv63PpVyeO9eeXFX41lBEYYxX3O65d
N7OOV3rSRudLE4sbu5s+0s5N37++pF4ahMwWFTYo/rCJjpZUpi8S7HwenbNm82055zIwMqRvXh/l
+YamZwmQB3V1ggDwgYdLKDPQA9DNMqbij0b6gpnavipsJRCW8gv58ltN41elJA6EJf6XOMJ1vL/1
J/7PEJxAkms9nU4gAy/u86RANf2+PMAG/vzsX7hA8w3yK5pJPAagCbOevzvGqvuGfjGzRAJKzOYx
3q+OMToUaz60ij+y+Fdo0d8tY8V4g2T16tj5GGPS2DF+BxV4tCTXhjRiI4DoGJ928nGCNyrLUkFw
jc9qTv7NMrvabe610d2TV3Pz84R/Cgg8WpKMQpXDhkzG2qeyqK3f4mkoqMJ8NqzB3nXx1J4VQwwP
t3eaTVGnv+2lug6FBi7Cp5yjROCHQ+VR64xi9qxdBz9/B3MHIhBWgvn53HVNsCS9s12/TBHIKdU+
v/6Yz18mAkt04MEL8h+n9+HYpl4tKCAmNsK4WvQdkvYSxLpsvv/2KJiPrPmFs8ah7lFg4qipM0Rl
b+1SWtixL9xi+CDT2jzl+fTCpEHIWZMrYkDoVEeJRA5kTTRFbKzKWOqmUmAbtjNgqoTQePP6Ix0O
5YKXBSmNMiV151XJ87juJ9xFz7xRc3bSrZxPSNdGIW12bzuZTfRbp+PPoRB8AnSLzg6zcfT21KEz
qCdX7i5ux+irHhVzyhmpJbSdlij5rRhyHWzFm6/M8FVBEV2ZwwXh1ksxTLPicX8myw7QgPuNZIgu
tayMU2Ith4vv11jckYBUkU9ER+hwrNaOFbtLbG/1Z6LzPnVI8FWNl554fy8PAxeWGi25+/GBATQ1
jXNw0LsCW2u/sLEZxW/91C5+viB4cYTe6wXGn87RwySKB7ZBizxCPKmiZTCBZ0wH2Yd11rSnilwv
PBKnM5k+6xyM6PGS8FKZqF3k8kgCXQStmfqg0rNTVOU1cvsn9n2cH5PjT4d/Ta6D3tvh/AgjI4et
4mg3g8Xce3WNakWmdP+TuvNajlvLtuyv9A+gAt68AonMZNKIEiVR1AuCMgfebWBvmK/vAfbtuGJS
lxmn3zoqoupEVUlImO3WmnNM9Zwoo7xFGJd+wN9rN6EsGnXhiPX2DreNE1152m+cljfN+5/zr/Km
QS3pAN10GPEAKXxNqQEH4P1RfFaN2W6RSYk3BueVFja9sNeX6T1fih4B3KGBNqftPG/UAT8YLXtM
ZSV5sdfZU8uosy30KMhGJAyCVXX1jljo8pdWJ2MR2Tb933D1TEAW7/+8t98UPhf0VswzDAFUUq9/
nbO0mmUUc3DQ0UXtulwilyWDNpJFJ/bvX+rFz/r6ZbOmQvNjeaXCjxvp9bUaB2uVRsnqYBA3SdXQ
HCmbI8VA24vSdW/lgbX5B4d7ySk8gmyjf5it1vp3Z9iXF8Jelp9BcQdjwvmClAgnFZ7eJgdHYpnD
3Ug+dVdbOzp28+79W/7L02VG5ZiMWh791fnTHZhObWljVWcR7I84MJ8mfehDzOTBhSu9tC1eP1xK
W7ghWJRoiJHS8/rhamY2oOcS2qGZ0duSfaMby72v40QLW3eFkNPYV86UZuo68yr4UEEDYfGwmnai
hfgRTRt0EDRbbVqxXrb04j8VIpAN3XQY0kBPHPt36SaIidrM7bpIHxHRPBtqKIjwG1c6m/aw9PQ3
a8utdnrWAcD4l88S4C7rhYdsiNMIpIbXN2hMqdZ0aVofLX967JpioNhfP1FLmi+M2DfzAj0FhiwF
KI4jnEnOFsOkVZoAn9Mc56DMdl47uHEwWu2FF/Z2Xtguw5aIiQd/2RtNi1jI0W2dtTlaaNxAa06r
/BE4g4iKXqY71WJktOe0e3bSWsaCCtG1UVGmHYdaQPZx5v555TYuCk5ewtNefUj8LqinFGnZngfw
MF4/Z5pOamq7Qhx5vFV3XLTcClCXkz2LWXX1btx2ngBYVpRZ47yyaxJyZbp8NkxZkENgrmU49Moa
UO175FDVKkh3tdOC1Vlo1ziRHKpGRL1E2xs2Uzf/FiW95HC2ZYl2jwKcHhowDx5aA+UNprxKn8NZ
X+O5boYftAPG6bCU/iJCLe+lRkh0WegIFCnDhWaJIiS0Rnu91xMbuuNid0fbbTnWrw5ybDLGUdwR
YeYlN8gYcwZiYk+/m6xYr7VC9+fdWiPHQJdMANnOGCFZha47+R81iZAxHNRMoVYkqp5Db1XqLpd4
zcNuqSEfNZB4j22VKaRxRqlnBAeI3uffHaHR7/esR1Dp2GA5ts+beZRIpThJW2OM+tSfr5TtqafO
I74pzGy3N8NxQJAJ/0foV+W82iBEoUj9rEoJdaeqbCgMRl7B4uJn031qE9jXlLL1K1ERewvKZpRI
znX01e5s9E6ILxqVNYhxqXbVMInnZaRaeMAvDB6t7ZdNeIiU/QfGAa/bsxXEEV34A3ZtpyuASgr6
fdCGc9hgNC+lIfc2UCk6B1KlXydZOHBCM3dZqaewt4s9dzKdXW3N3oTkX4093CsbUiQ7m16ArwLy
Hxdz7Xyps7W8K0rfeKhUMd7oRsnsAX94zfaza/tZqPgTUP46tfyTNqkhwiYT3T3QtMUPVzJ38Pdp
RT9EfqK5qA1niQpI78zgRslh/W4Z2VIdRFr4T73w5uU4GdN6n+m15h/ws7t3K399TlWtEk9iRKdP
lc/tCXwgVKPdTbXtbPkuta7vC2Olxms2blrHMl/bL/1kr0yDFf4nWRAoGTWyMX5Ns5APZdYDM6WW
VX+ehVmtUMuIHOqR0bkhDKS+3bvAi5C5btCr0PfqYQ2F1zf5A0/Z3/mjaAGAJcaMl3bojTYCYjhY
oecibM1MPYW4z/DN75yhtk+FLhs7cssMXJQGK8SK3GFCYMlBbv6aJsr+XeSi+hqYbB158uV0ahxg
z8ihKCnTYnaeK+rrDRpmZ3yyCtdcGZZ29U9GRmuy03Vh7tO5CKowCZa7ZA7cQ0la38+mrUCa5Vpd
h7Zf+FaY1IZR4prokxbn8FA8UBkHIdfnonjqZJapvWs07WPQTDDna6MwZDjOEEaiKUj5NBcgczKC
Q6CiSc7twXSlPR0yPCSMdKbppwERIP84tSLbrYOVUQGHnHc768QJVcsaRMWSTSqUqlyOWhuUySZe
TWseL75sJhZ6AjuZUtONVrLFjThP2tkP27nQP2Ly6n4N6eKA7yqBIkQVS6wXa4s/fBStOT2OcBa0
0ChE92DSjO95WxrudiFS67ZIZ2+Og34omp1ujJYM9XLpH/TRM5aoDqb0sbXsVIVas6Wl6/DvGsTJ
sG0b62cWJD1REKroqpjc6OxOTGPKLJSJ7JNuF2TU5N3kXDEnEilj5B4DeSC1KdtPnq0eAAmJOlIL
q3mozAbtIbUzhtpc4Cj+JOq6ju3USapdRUf/AVDYUIejGKBHzNPifMoHbWqAfU+DTwNwnOEyluog
k8r6pq257vAsZJeTaKe3X6sF6j6NucT41S6tLyIODhiu6AQkFs4mCHrXYljqZy2f+I3UFwJiXBM/
1+PFG0jjWLV5eWYcYU3PXGarGEhyqR9aa2kaPF5mBvEvz0QZVtnChqXv7FqCbnDXMjL6pjs1XrHA
lpgqFMwI34GCAccePo1Ly3Q9Tb1122cGc7Hj4uek3+URLIzX3a6BBGjOji2mMxxWycOLaT0WIgrs
3ACUoI3gCezW+SIAXn/DklPfN4SCDKg5lBhDQees3bCCSxspVfa/c12XvzfHV8BQGqyvXZ9P1UnX
G908ZEp1N9awpnAyx5RYs1UgDAndxEXqW3VN/WCxc/oCvG14chKzQXxI5PbHJGn6Zu/J1Xuo+sl4
9I0g90JwwViAxNz7NYzFRXvwErl+Us3sDTjTS2BOBkg64rsya9aYbj3rRgZT9VSZhfxdO+tU4A1Y
m3GH+ZmnJURP8yIhiGGGFEH7ppTNJD+QMpo9j6t3y5mt/AQEgea6M2PCOa5tBSpDTRqG98ZOQY9b
ygV8uTQJpwSxTk/uVhBDTcoqRYoF4IsRakTLSWV1VGgMRm8eRDCVw11SJVwbHQiBRQsK2Y9MFGRc
2Bmd2rCw/DE/zDm2cFvVuRu7lKkWgIF6Lo9+StYAfi02z6cmHxJk/2OPca7rLVvjq0Y1f0iyvgRQ
tMwe3FWbxlDMuUN76PtSriTe5isDidrdDn6by5cB8LOPNL0WB6y4Y/cYJOw2IRMG9nCYKsCCOy8d
3espL6Ej2A55jOSAzLaI1NwyfFg34IislbYKBONVPWOi64JH4WBo27EBLzYxfOsXO+wPkEmTri26
yHRa3b3Wk0wfDw5bILSpS0fe6bz2+leDbfMUoj3Wf7e6mRNb0S5eemN5HT5JmhzQ7pLMLH42QZL9
QG9GgtpkVsrceyNOOnJLTC92GWLuLmsSrWFa8/zPazuMvzNVio2X6ylw5oFd6LEzr+J+sifdiRgy
g3jQk9K8lklv3svVXpJQGWI8Wp05NjEtkb48KTuxfq4IhuZI1wkH2PmFm1y5/DH/punqFXjKqgPf
d0a0BbE+q8oNi2ItQVS0Y3mt42js7gnFYqWxhdGPO71riSfuCfgI8VdgLwNmose54Qx30so79kf8
6Ks0I1GSo8QGNO2SMbn1xVDLnZiketTdvkxPRJNr65Vibv/K15H+hjXZCACFzvI4l7J8BvWS13wi
YGbZyDXDR+SPGEcb8Kxi38sJKNm0sNeJUbqwh6jZiLt3SWvbn5ts5Mm7GGh+jki88ithdXjV6hyL
Z5jO1BgjTagiuEo5Fw3kISizDUvLb75p7Qqbo2qz4uci6WzvKBEawxXN9/pq0ozKD6VF7z1OLTeh
aojYywQFUzjuHjKpKyMoQ9iPEBYOaTS7WorZNBGsHGsPYj9KA5EP4egvnozkgjB7h97KmX6kVqUV
aCt5pLHNibqJEbDlORKPIPUjL2vKL31bwSRh74Kx5P0z2Utf//Vhgao7Gxf6cigsmJteHxY45ZdW
l+vtsUmy5WQZs3imsr7QwumyKl6asv4yLXb90cMDfGWPCTkGXVXdwAr2/8+p7V91Xf7HXsqfrZT/
7zDf6AAQVW2P/n9uvMTPIBnu5PD8vz7/btL0+TXs+7//hv9qv5jOf4wtq8um+MX/uFmz/xvLQKHi
ReZgYSDZ1FD/1X7RvP9wGMa0hpUFBQAyD/7U/6UyGMZ/MLKgoMLKR1AqjZh/0385rwoiWsK/QqsH
Ywmlx3PXA8VhRDJGI042IrcCmvYnqLYEIiVEYyerVxy01J44Cbv+wx8P7S8tma2G8OfnvF0QRAO5
AOTCbA/o9ec86RYbYt8lXodwqyubegmm6HbYz+ZsolGB2Pr+9f5yoy9KeaoaNJtoeb2+XqfNq9fY
3XCaXOHjBxLNfp0XbjIZ8cGOBqwtVGjRYluXKtavW+qwxPTN1IJnE8Et9dfzIgdAON8a8nk6LTrr
g9UlTgT029rrJduF3AzmQ+EFHY5cv7qRZVHG79/4mdD05fovUXF0lmk48L29vvOEQ+2amOZ6aldT
21tsla7Ro7XXTMrUYivWM0vvraPrCfdDVjKXbGlnB2fxnloWrIPN3vvYtmZ/u6S+eaEw/PatoPig
kci/+KFvEoc1P91Aako/aQXqar/LyrjiiEjfbEWAkuhgqNq23wlhXUIU/e3KVNsp472EYpzzQc3B
HO1FX80TZuz8uzSaPMJs5B8Rhdv7sSrVyUD8cJRtMB/ffyFvv3y0BPg1twLtlgF8VqXOegAKHurr
E3YjeSWX4icFmOyYKdeOJ09MFxomb2+UL56RBIyXoba1a1/V3u1+YTLJM/dkaVVCYniaRh0NlP0K
ATZ2pe8cgYxncU2958KV394obWUUatSZaQnRwXt95XbJcmZbzT1NaMYwQnZlSNjyvjPNT4CGhwsD
/EUi8XpGIaST0zhCYWpXKPJeX046U2ZoZu6iFXYmN2ybilwrg40S56NVk3E3+Mg2AG1J9sjjYHyH
xe3fl3kywKfPygrw19BbRdRyzP+YVhDWIDr0mD7Heg2uvAzVOTWL1bmq2VDg56k5k+6z2jSPGQT0
eW9b0vvx/qfykgV9dk8MCpZ8umpU0M9ZLBy7W2yxfn8qkoqWoUluZViz+X+2cnxYYemt+hWNthQi
QiHaX8oq6Rv1qthg0hhRTXcsriyfohm88v6HM5J4BVk56K7NUWX/JJomH8k4T74AQLHuvG3jpOXO
+iHQ12GG/aYHn/Blsz2aVb3e+rlbPduVbXz1JLTssFD68FhXNXa5ZSpQCnY80DXsbYp6YdHJ9QRg
Dr4dJgTj68Ip+5KG/rx8vHV5aASCxoXshXrGfP3GycPaJpWgP3H8sW+p+xr7YWov0bTefsa4F7bV
GzkLbq1zIZZWTEo0Y9WfhjT75udae2i97BcR7NqeBLVLVKFt9L9+49vVNuUj/D1EBNtw/kOqUGu2
MyxwM06SCtGuMAvM2CmFzdGFI+obJkY5sr4uVMjfPkiaqZjVsEQgjaO5enbRdNSoiZB110mjjv3a
xXppXoy6+utVEHVSQ8It9UYsHWg5ec7G3J/WuaVqZuTmToE8vzAPvJ3vuJdNoIDKHK/seR9aSybX
Rt3KxsJel5uxKRdoAHbHmZHunjV5xl5YPS3wIHUvzHd/uz+wB7TvYWfwn2c79MSxZuHXpTgVLiUH
2PVW3OnqEpP5b5+jjQkX/Rb0KWgPr98VcJhGLmrc3lVO8AQzR6QNKAQhenyzxkJe2D789XLbY+Sb
RETwIhj843t0/MFbsZkJdg/SxQpMSAcDPts3gYGtZm2T/4fXZyOn93l+NDDdszGNSxSJRj7x+loq
lrXKHn1VHNbJsEJ9pUFBBciKitb49P5Mu33h58MOkSXoVzDebwlKY+Uie3RNcUoBLiCy9XW2RhrZ
YClJDf/+Upugkx0/XX/23q9foCZXNShh9idHo5ZfFVd9aQOKredLdou/vTrqb6z66E2QS5w9SjfI
NOwWtTgZq33r9WoKQfDLsGaHz0k3KcP37+sFA3z+DJkfSexheNNrO/sya4CA+UDB5+SmvREu+uwc
jXysPqS+J49aoGt7GyjTrpL+9HllZvtge0MWQqyil0Egwn7aZJXOurQfswBfQpKO9V4SmB6lVuMB
hSpl6CSpdmE79iLgPP/ZUM6g420R6WwJX7+PeZhNzvXDcKLo6Ty3ZaHBxgj0pwCgB0TqUicEnj0k
J3qSH8BEeQ6FTQCfs1+Ffb/6hNQ5Rvoo2BV8yYZpefZXwA5hpnnCoTwnqazkuaJsxzkLTICHxpZM
FtMRKfVrAlu8aq0+UsGf6L5RAQBUMTvrR7zwBekfRdtRScZamlgmNAlLqy1epzney9YMLjyJv81f
iPCogJkBZb+XduUfQx3OSTLqTjmcejx9MMMmGY81EJb3P5M3hQyay5iMaHryzDcl1LYC/nGZHN+C
1zrtcFoSyEOBmMgdZDUNja4eQ8fqY0FM3AcbIGgIhKs9pi1WwaEbL5Ep3p7LtvM1Gkfk4LAYjW34
/PE7pnHAmwOtFeysX1PE6dK7oVHuqS/Hk9Xnt2VTuXcLwTc7o0iSC7mLby6+1QLQZulUHOh+nysS
+0KJdMYhc6KqNRyKdlSfxrrLjnZfBTjvNffoDrZ207GF/uIqz3q49BK2r/rVV891tyPp5q0L0MKf
DVaO2onbr5l12o6vn9OeQhkZI/gdI1VzSAiNTB/QCZczjbucfJxymMXHVfH1xjQv1LUOXDrfEd6e
0BHUGnfDMS+mH+XZQkMnC7zC32h0DrjnCoR/GMyW9GO/KdQ/EDNoh+TFVNGsRAp94HSCMcUTyfpl
IQLIiAc7GL/bbbYax8RtkOkosDog3dq+Zl5W5jBGulbNJ30kFixCqjoopmvwJWFveMm6W5G7iTAr
0fDt7D515giNDW6z1BPgqpXuLt3R6DFlA0cxS8rsK0HOoWwFuVqKSm8Sk8dIiT2T+WRGbe9MO0No
ExkudIoM1luhNSxHlZdEgZMgz8UnkEYA3xYiPPt8S5UtnGXXdpb3bYRMV+xdwMvkhU2+X++NauAX
gQIeiJ0hRxhWQrOk3bEPgik4EB5N+I9dukp8vJ5GqIRXyLYXfMDG4H9qrLa26Spp4xfPn8S3dJN7
R7NPwlRMTik5YUFXdNeTGL1fzErNdydFdxR1vUsXt0fVeWNK1d/Mvlf9zDS6eTEtVEgOBZuaYad6
q+SA4FRLgiOr8u4AnKVURjDSGjsrt4sfRMP4n53aKkn1mSFBRGJIvq8BRIVQpdXSho5H8FyogWb6
6Gck3cx+i5117cjdhrSM6xinb8Mn//73/Gb5NjbfNNF326DahMSvx/LsVV6DXMA49TA34oBo3rDK
py26iKX1/Uu92aBvl8J1j3DaZNN87tvFruq7qe8aJ6sNoL9NjnHVY8vdIQbSfjH9pzE79+qCSebt
pEmVji3Di7JtO/CcTVbpvHSiASt1CrTAPOYZqW1sIewIN5e2nwbIFmuQCMKPtA5gXJuRI176kU/a
zoWJ6+0qz/LAQ+acgE6WjdrZ9K3Zo1YhmLVOSeIbdKTq1g1JOVt3dTW1B0551r7O+VoprdNZgfel
J/kdg6299fVseXDM5XodvTqm+xKt61Dcg1dMD9JxpnsAWMN+LUV74em9/TocyBWEJHCCBiFwfoJr
8lG6PS4jshFSfRfAGAiFDj4bGteP9z8OqvFv5lWuhWuHneTm5D+va/oZ9HlRifXEEUTLni0r8z7k
dSErkuIs8yNJ9/IH2D71CL3AMzkb65PFxKs1aFd+mfrzYIz98CD6znucPUWMXcc4jKsgu663XLqU
mDji1+ghXdtt+TMlFPRrVZfaN6tO+5IGd5JpTGpYSdhoDOyXa3MR4uiW5FuHfaHRwrT7coKV0Uvg
5bAbl7gLAmQRm+1eRTne8i9OsiBBGRI12qFfkAhPQICefLb0Uni7OXU7J2zQ97gHo7DqNaw3YuCu
Fav7YbFWgGapNtenBKHbr2buYSikXY4hMsVms1vBkrs0gfKWtO1ObsyypVNzOHJj+wIRKTqgwRlv
R3eT3DQ2ecTGAEims1N0QUDQ02JPHBSLMoqZrNkbWud8J7uKWM9KztYT83ZyO6aO+3WihTuGyqN3
e5pnl5aiXrfWR0ln5dpEbhvXeumAWoOqUmEeaqg4pz63EnWqAp/pzBP6n5K6JTvW3GuqPW217nlO
lKOd2L0ka4QUZ0hDHzwnHSUzm7/DIGEZ8f1CQ2c5NCSbFUVVfiV7MfteBMl0KBLDOaheG1gtKw8h
tu+5+Wc6SS1ULq/ubpJATfqBUHEOWNKX+kFXpfmhqdLpISNT8XfmF6UD/dIHOurm9bzuu5lszN04
t8tzir7gvhZ2hi3UarrPo41FMZzYMj/VWTA/dERWEBQQZOpQrEGJBpcpvIjSzizz3ZKMLdhJhIdj
JMc8u0uzZrpP0HplnXafj3ZzNLz8xupU/rVW5ARE04RqLyQb3SuQuHTiH30McGSpvuHLGPO8Ifhs
ER1cggE8kAGIYTxUiZded16FFiHBeoRZLM/b/Zppwe04reJurEfd3xsqbVlP6G7eCbG29K69GtBb
pzOO2ArklRUrt/XmCPUOvktpt9PvhDJXFZLaPt7PVkPQk52t0oubpjfgI0zNVZBW9a3Bh6xBL+FY
x385W0ZYW0UOV0Eu2ee8K91vq9bWVAmFCp4zTwfs3BN1+Gssy2eI6vr3flq19bZqO8K5bRvtSC1g
6ykSHD52lv2TYEiJliwP1A3VTz9SbLP70EvScoHESSRnBJfN/eTas/kx5//wEzX7h4DvhmMFplJS
qDdJ1R5sXfnUW9pTklTzB+isBFkiTD4ArC0/9JC6UTT1CpqtMllo94sYShM+Dtje2HY3oYdEDsBa
3Kvku6F3/tOoj+or6XR0zRtdCkLv4Q+G45IgnkhmV390p0SCXA3S/lNe1p4bQ8DzCPejP7GEAkPm
oaA2DxyqbPdOGcibJahQx/gjGlSoKDlSjAxNuYLjSi8f5Z+FWsGD5WFGBnusT2wNbYr5qa39CJoq
UFQlPV+Fi5ctTzaCHZizTbPeE1SgE9WB545pCS3W906p7At9mvISW+GNipdjjuUi14D5pW/J9mdb
BirJZpePunvaQidFlDijkR7MDl163Gad/cOV3RPc694+ESOOcm0lgLFBlfuznYX6peYuwQKMQzMc
9fQqqUftmknI/lnNdXBEirMfU08BDPRz8vOS2ULI02fLj9mqKnzoHP5+NVWnLizOL/uc17t6GA50
09Dv4ujChvd6H9RzpJgz5BcnlS/9Tofs8hlUrbds8ZxmEupIz2xmgAL1Q7lyKopKbVk/uU1B6mWL
YUiPVKMqM2KzK06O5TSs7VIEQBZNI/lRzQvKfQmAUYQT4qyjY1QjUSjeRIyNq3eWsZMmWo2wJNgd
8aRDbgsS0tG8qmH9/MO+Kk3DJHeKR3rlDorDLbsRymbDBJV0ixW6GrLccFGKc3I3lblCMz7Wj7lU
6nF0ewJXML+6SP1mpN2qCcqZg6HdolZZqpnqABMiM7pZZN+9cguKLKB8grruhuH7WJfWsz0ILy6N
zv6WJExkHFm0HDGrmPW7nIbsQ1UGs0tmT4Zzykpm5hy3nZY4lWayxyNNhk9GRZuQyszLb508XdaT
ahv3KJZh0ZkEU/mtQbxBng2CCxGOMmNWrrv2eynwQF+qt2wNjdcvG+IT/VtcbcHmJzo7wuG7Ur0S
1bYclR5oVBWU8i7TzOWDXTv3CGKSgxGwvvfKNZ49bu2n6avp3pkoxE9Z2tAaKI0cq1Ota2W4IKrM
Tj4BMr9lby5bo5IsI8Jm0mSfiAotjYMi8lIox/Ybz+7Btvlct4K3CXnk7INlxuDUYo/BaTY0Oxrp
eKPKJUny/W2Z8XbTvuHRyFugik/r7ZxLOwd1xmKtBac0Sas7pLTFaRLrcufbc8P4lkO8bkqRKRFz
7KAVP/qDU94M8DUiahn+3SC64UnMxN44aZYcqOdMV4s+XSKsva0KUH+kIMG5HDsQRbvXw7dZmO5F
o5fXoldqV6f5fjSQoVXGSMBms+XlDs2u1fOD042P7z+il3PL6zexXRsVGYUZ+k3njYcgm33ZzhpS
IomUFVyr6n9qvl5+smQL/cqY7zFMad9FNpj3TDH0XFbcUX76UDoYw4kbGi3kvv1vqnbt/aRBYsNv
op3qJoPQlNeEYW9YEI7vYHZuFrwaTzhyiEittT6DM6Bv0kNL++ZIQfosKPV0CV05q++ZqhArcYYm
dIrYZu0S9+ftF4iuxqTeRamUXrR99syrnP5Z0mTVdTuj/tdBxRyIUK4ulNFfsH9nj5djoxXgQKBd
hRvh9aulem6vqdbXANLRZSPsXGLV+UYoajN2teS3VxAgWVudJIPXdq4oXYDkn/TqGKhEfGk97CDE
LiS7JDWWcJl9zvRa+4WyRXWHJCq/gbjfx5QatAs//O15hv4jpWr63pBV6YO9/t1uN+rdZDblNR1C
LwbvaH7zrAY3t6lr16bN5myRNqJSw5qHC8e2v1waNibAIHpGWIOd7Vj3R4GO7bmVT8tQXtuyq3ay
q82TtQF+RepPt6LI0thLKFqwev876ylNQ3b1pASRYEp9kpX0bG9AFZc0bJ+cjc7R5ytemx0nhe2x
f5kv4Q7f3iQ2UItux0bXwod6NokH1eIjwc/qazq0y9Ho0uWDGrzuvoKMFI8F6suyytUPRx/nL++P
+LdzIk/XY79ADobHvmr7ZX883tnvbNa1tL72GW3In1PjsbON/sppWRkCDSZDqzrjwjt9O9qoJ+qI
EVAcMc29WHX+uOjIdnKQK7c76AV18ZVGICfmS5Ccvz3UP69y9lBLpJ5WutT1tZzsYV+nLHiuNadx
qi1F6KGXjKetPiFGyLLvP9SXRff1OMfhh8uAvg4mgzeWpmwCY7q6S3U91YP4B1RPhtNuQsqb+v3c
sCOBQ5k76RSrGvBaFCDK+GroiOFJYQgQqcJwu0sMd3qEDWLOEXrQuQTqKNHX15qQ16UQJWXyTlqf
SAqQ30tNYAPIU6N2QbTUixdZv5LG5DttiG20QiO37aO3IjWv2ZB+cdyu+z6mvnrutTzYr4mku68m
cukb974zZXDvKEINODttnMNa/E6bktMGhwbksbTsiu6u4UzQ0d8PwA+xfGsiIstakuuAZAihd1a4
TPpJyl9ZrbO/CzRn/NAon55rqgfts4FBBkoWBbuUg25TEirToaXmqGQ29j7FNpOEiVbJL93aauuh
mir7ezq28w29dmIV339d2xTy6m1tcB3K/2AONrvvee+nFLOAh1ElJxP2395MlhYRqTDjJmi1C5d6
M9y2S8Ghx+fF9GKcz2YaIrs1tWVympfJ2ikE27Hm2uWuGzZMrNbRlwZvHL1/f28GAhcFvUiZkqY+
rY6ziSz11wm9dp6c+qrmy+jc+kebphSftSLfSzv1d8aiGT9dZXXH96/8sqCdP1oXEsEmydlgk2dj
0DSGekEgnJxUlqwHPbPIjmkze+/KQJIg4WXX7VR4t80gO46ZtoMcW3a3Bhtn2ItLeeFB/O3pI5Fn
FWO2pfl61pv3u2SZDACmJ5YUULIUTfZd3bY74Xc9jUc2G4Xrfn7/EfzlmpZJBRBCq43t8AWP+cdc
V8vEMcXkaicp5iDWGeSHqnQ/9e7Un5DzDHthlN/ev+RfvmeUofTUbHrLSMvOHjpfQOrVbOdPeabN
ce3m5pG0l3IP9f/p/Su9lSa5rFcbRQlOKPpR52xDE/h5o6damV470qiwL1m990FW2HQWiyiUEKxV
AJI4M06yVXaz96s1kLHGF3BrVwp3ihJ6RbGMwQJ6GiK2CttOa8yYM5iT7QdjKqkDOfl06qcOxdZK
KHQWys5xboTMqwOndWpQg4EcAiccWoKYTmIvqOe5WXpQc1Z9M43ppGebmLwqGg5I+LvS3+CDaMR4
idPfpFrGt9exOZUcziX+IKO1g6v3n9Pbyv32nPjutrY4H4JzJkujP5y2tsdzcslHONa9Mz7Q/q92
lKnrYy6leSVpg++ydqlue31obzESDT+9xhrj93/Ji9DzbES61IbQ3FHBZ7N7tpULEtkQuNNk19gX
xFVeVeKwDAWKAEGs153Ttc3X2iPOTEotTvLNURPoae8f8rphkAzEwpLamLvtjaWNAWG1fdMW4UK2
g7kziKZYj2xvByb8tV++Faj9WjxfnduFBJGKPLQbshNibba7u4m34W/FCERkrTU2K6BbR+ujPKhG
Cp8c/4mCnYxP0ptKTrcJ+dx7s9Omz6ZEeUbLSXhW3BApS5Sm60yPTZaBdB3LZCpgkZK+ELGtG/ww
J6KW7wLEaLTtwTjf2QWKAyaI5JfwBG6QtbbGHqysR+B33XsPRFcsQRQU/vLw/sN/Mxe8zD0gOJiO
EdOcjxY2qiU9Iz29ZmBWOzwMIsQGYuySupivSh8hiNGO3uH9i3K8PV/f0Dqz6jBQt2bvm26Eoagt
r+lcXy+Gv8zR6OTDHDXa6nhEUtTddW9Z8w8qZJpPe2KamXoprppHt7CkCoNpQY0wB9XUsbUo5Gdz
dNQHFGrFrpYkcmzWDWihYIR0Lxq9VWtuK+ZDTO44yexdrVn+z9QGpAEqbxhx7llBXYZ2UI+fx0nL
qI/gO6vjearUswc85Hsw9L691+eZ0n9m5StpaVMaOEen1eQSTUjUh92IEy6PvSDPyr0G+5z4UFoW
TUQ1fMp37aQPdx3q5pOphqcUbQaY2n9qng2e+7GJ1jllG5/zof1v9s6kOW4c7fNfZWLurOC+REzM
gWSmlNosyYtsXxhy2eJOENzBTz8/qrretlJq5dQc35hbdzlsJEEAfPD8N/gk3V2ezjERJWakmmGI
/Ny5lSJJLtSqc2pRlcLuWMOlm9sdbDjjo9476G/Wz+WyQTStcSCS2d65LbefJN31WX2/dp0MURaO
53O2pBeAkqzqCVg9hFBpPEBGFRH9+B/rYJIVkaNOFKCtQ0hip1NFid6h67TniVgWncwc7WH1q51d
9h+dBmgVYd69Mfvim1nkoehKVFYCD6EZFU0VVcGqQ5iQEBKd7qOWQClpsolMp8oWF6KZihtSZpbz
wKnsQzKgu3MaPFHdrLhdRACFTBVbg0fdu7l3SxhVGfnldOe4w/naXNbGfGga93vhEBPj+KiqNcfZ
t/7YchPFCRE2w51brHQJc1Tfi6Ueyufmrl00EXk9N9R6OxClIdT95DCmTSRm7SlbgOFsF9+DGVnT
ausHNbvnqU+vWyW5FtnSOpsza45mwsaigN6ftm5OFlYNjI+kVfHCQ8foPyDq2+FJ9JkYk/TM7ZK+
jp2l15xNT9398iFX7zHqM3LYHZ1/29F17RBZy5XYtqVyzuXY6Nd17esohrHARX63gCqQ3iIOOanX
Z7acbjFgfliM8kEXhRlKpE5hXtS4mbTqB+78Fzk4ejhn5PaWPUJqn7SsvG2d63FU2pMDDnYgGcf/
nnIGPS5ldU6H9ckt5X5KgwdVW+vBbmVyrwqQVLOXN5qX3pgIVSmDB/56t9ed4HImkCtaa4jHHUzY
eEahO2BaOHTVtc8H+OOE6fyku+eaZX1M/PreWU3wsgRSiwnV6k9gt4tkTs7s2X/UysXb4Q3eknWX
fNk6YyHfWcyp2pEwMQ1pZEi2HUp0LIVCEmmugsz9aKf9eqhpP+VC+2Q41WfYIzdLJQ+CAEry9tLI
pUcW+1kGc7ia0v68XNSN7mcuwlBnC/bBCaOzCg3BZ25Fy4JmCy4h58OnSk8NmEYeusr6vlHlY+OQ
VBiI6Vr2+VnWAhVWLtCLoUWDNWFUSjod2K2F5fRSKKTMAl2XqgJOAgKTin756HMnYqCVbm5Ex3v+
NHGf+W4RZSFDqbXFHf4duU4ms8k4aVveGu0GOzCFDbE+sI06SLahVpn9VdHY6js8pKzYVaqVGT0W
BJ3ULQ2Jjqoimye003zEDMFfBaQdGtEYqA5EwrmjZpgRv0mA00wDs2yVo/lACKrxyLlJI0vQ+Pnq
9l5/Vzhc74VGIDQFO/8tAGwiOyL5mPI/6r2mPKAjUfnpfdOByexNu7WuKeyH6yRfumuVrazJrHfI
ie8xQRkOxBPJ797cOmNco9f7OcwIP+L3Py+vLhcwuExuofCnNiuwY9csuVHnN2vfS25+Ds10jK1u
+7q30Gs29b60Pe0iAdYnLUBv/sWf+kcatP+mzn/PGrStG3NCg/YfzP/+66//7f/n/xFgH47pI8Q7
2H1UJn8L0Kw/+O8YzcOC22whKR7+y/9v851FtQFfAi4gQpV/68/MP1CuAJJDc+FSyRHwj/RnLwuU
zTyB8Dk63VyUdH7jcde5rZwMW5whO+gqV9c4amAJMPTj3W+zc/tXjfuO/x9Qn45mDs+ljbTCOFt1
9ttNTEsIifSHilEw9Y/MbrBvBHr2c0RH6sc/HwpuH9deIK0tMOPlUPksdGz96+ywLNA1/DTr9q07
reFQ5OkJtO/lZW/jacLY5/Xhn2PbPN/25789ld5gRVCtfXqQNd+xRNODGwrk6qobAHTff6pXr2kb
arOS4rrnQHDf/vy3odDlZsJTTnpICy+LObu+wKs/FQD1l+jv3zeU5ydygR+AIeiQYKd91K4wnKGn
R99lBxA77UbWzGFKBaPPT5y5BUlUlVlzCRxqixa6NBfgynla5giqvTGf6VLXb3xTcpR7tWcRCbFU
DZ1xv0mpRm23vhBOUEkqm9XKolZ5JRFrTckncjFF2mIArCkC6RKqzy0KDqRFetbXWenVFRgl2QpO
5ycj7MxhQ39QnkBAWLB1iimVMFTQQOih5iSJGPZ6gLwhMqvOMs+KbUWGgaO5JSxT2U7RmnbJFvGg
UifEIYXPztxmjhUChFm3FKgGn0vR5FAiTRw7QtwycpuECBEcgBidLE4sZfywi4Ke4GpZ6rHsE+Me
T/3BJbK2Nda414y6orWjZ/5h6WrLjDNy/VD0cBtwzi1vEuQGdnxZzzt3dbVz31pGL1K+31PCrAuX
Ewem9SE1tcYgy9VLugjBXEFWR2PqPzNsUIqYVrzvhxMJvp/SZrZKGC2+90QzhDe0FLP1BFjjATRW
xfBNL0jo2Nt1mR+g8LQSlDlJfmBe5v5ZVUHwgF0DkiGiXyiIgxI5WVRAWv2JONDoo3wZywo2kmk8
wqdv6tjbQiZjgErxRV8drvAQM/iaZh2xBRQUCRf+tig2Q4hSia+zUO4nqBGquiXHw9F2PRaMP7O0
d78BYZHx4RGO/DQ6emaigzdSudMHjWhdh8BTygy4MJ9zLcMumpgTeV9463LrmwmOI3YbqEvPxyQq
hGFKRK8anHnfSFTt2w2D7GNzUrKNvLop0qhyyIeLanOqgquSc+5PvW4tOvxkYbk7GODJcmaXuq2u
0jZIfrRQv6ggAMW/0JPASSWrqTjxI3CNy8TnhOFqok3X/HN9uscausWeyM+Xi3Jy+k+N247wfuas
6yK9qwN0+dzP4fSmU1Ar7gwt1kLwFwJSZsoZhyanwrskDFDdqth3/NwKTfg8OOwswyciWcqbYS0L
PPTMJv0J7h/Ml1liW9+Zn2CIAEUrN5bu0PnROnfmQ9fPjYpRGtjTDrwZNoqLPL+HGDvQ3umtaTyf
ArFungu6qYW99IJbytJaO+NQlfrONDOpfRQjbiR41fiZ2E0l4rYoHRMMGMZJ2wUE4xLh2XcYqRT0
qHZz1+t6XFliJV4ToKX7UMtJmMSlTPBQi7KhlOTZ86gkNOVzkWfFeKaLcnY+sAuGQ1frq0HSr2pj
3W5r+BlrwTob0hzpiVKz/snVFBStpitADWrNyTApyRdsBXNXF2tI91ZzzkazGvxrRHHTQzlZXXUQ
haZ/x8erg9btu6xN+mUOBbRuEKgpZiQObgkTMl7wk8DbB7dsNKjKGsgvJMkwbAN31kLR9/U3ayrx
Z/HwslNX64DuMByzlqgpB7nbEx5z5rXnmMVNi1jwGjsAopnrnMtkWNApu2kri2vKUicTPXaoV+Eg
q5S7bWWQ7I07Il3QZUlmMySIbkj3o7kWKoLdM36h4ESUoLddzz2ysYFNFmsCvTTyBcuUPDPSHzBB
oU957nZfsJeF24+aTGOKV7dG1rFg9nG5EMG+xKyV+UnhWy42+jR9mxKQsyOTOtR4ABhYdmd80BK/
eijkkl16ZER+60ptxuLb5pCPV72jIwZuB1uvNZsZ1yQyPuBPZt3PdpmVhtFZhkOan3KVQUDuQs1z
c8w4QkjZkrO8R2cOkSGFlYclefvDpaplizaF81MYPnwSgaHOtZEtI0ZhQSd+FUUPraXVc2gtqVtr
bryugWZcrGWdNDtrWTIZa1222BiV1eQNdbVr/arFAKVObyEOhkUtSnnW1EZ5X+n6HUHomIQ1sFO8
yMP4aQ6VjdgE3CSHHdQ1hfyTtlpCtrlVwuNecYvBPt1sRwerkXR5TPrKf6i1tvqqGtNI4wKTka3b
NhE9XkPl+lBycEMzQ030zTF7m7NQqiDbZWuDPfqKlORroQMMYcWW5w9GkqQ3KXF/YtcZXIZ2ASvK
iojCbi7ZL9WdvQzLV6vUcn+nQayRO2vCnixs/RIC52zVgpwJzswv5tgOP2rXlodBiifpKzyLktlR
3Jf6YXywW792YuVp5ucqVd5HrxkhN5JiUF0l65incVWmdrs1dvObxNz6QdjYFT2fkE3/VT27VznW
nPH1fTa1SmFb7smrKb6V0PidyNoMsHpTBTRWsAUtI4LSPYK9iYMnnYLM2a31V/0ZbHZaAb5aGpuI
+GsfIfIwwgON682Cy3x24/I3Yy6H3FyStZX5GHRrjgTt2cOr3ey8cK+j62VlSfklkBNnrNb3NC9p
cI0JFE58NE3rGks1OEeYJLE/DXssDlk65H2cDKn6OnulrnPiNZPF6kiNT02rD7QOpEWt6Clbm0M5
+VtOoLtgedZ1njK2HHIX06YiW7KY3OJlpq/feXnYWloD/zJNwecWjmmThlGur7DBvene7fql2uKK
G3x2QL+aPVA65n+ZxWU1aq3cf3AWx0QVjc5G3tZ6UJZULUE3neH8GFxBI+7nM1pKwkHeVOBV6inS
B3Z9jUtM2BGR0ceYeI7MepCziEXWpV8nZIu/BttNP2HgV9JP4dcu5502Bl9IOFutHfM5XmA+xYod
VjC+g42E+NzJLM+NUZ6yiYLEk7fVPBhsHLO1KWL4SEMGqzvsTUwXEnPm+pKppob6KVa4B2i5Rf5z
nmDzSH3y1t3aTeKyE41DGVbOPg0bs0wpXSiNbtN19taQhJ4CvFUuJsYGnvoBK3f8DCjdL7vJcBsB
/zLJisips+wRDpBCfGZm9Z9D7RABIjwS8C4rd5mvg5kWRqQtnf0AtiDvvFx5H1Z9cO48DwfhGMvG
BIaarFz4MV5W/8j1TczizxWkHh1c4N5ap5UJ8flWjbmbfwg8pbCiw5rsMDa5MPdWsXQ/6sn3bhtL
Fh+mabUe17lmLvGztGi6jH0yf4DLNC7R4tCqqIeADhrBVTamj4PW+aE1CNA1L89S3KLWrhRn2DxV
9wQrewUGe6n9cyGUmVJYjd23ZCxVtqex0KrI71pIKG1dkQY11zSNSfMJ6PLVED0VVlStbEL0yenj
ovQesED2VRVZqZt+cTrloZ5xqpINCtOsCTMolT2B32v+MGMAdjvLQf6Zz0S9hiAkLrKbQJIA5y1V
V4cJvnlkfFlQtkKZY04YwRpAn2TJjiNbD6SGYYQ+5wJUqHeeFA1wjvlibr6VYNxf1gCCSthiEJdG
TQ2fh7IOPryO/EXCj9U4L7xRrue9jpdUKGwSsEGBKmVFk16hPCPqegjXldvvvisCFzmoNan80/s3
qo3Y9uqqwyWHLeHAcLGPrqRVAxU67ycioJz1Bp+uizyZUej0xaeJwOYT6Oerm+ImYMce19kSLAJy
bl9e3xLDQzVbDeJQ0MzZ4WCUVfQGiySW/LX5BND96q646dcZBPkDbswwd14OZhtDitFW0hwKsqDi
JlsDbinNqcCMI1NX7oourVWTDgWULYv+09EzoXmdadHP7cGn24bcpxl7TkyzbMVese3vc1TYMhr9
NWlpG67NcrmkWRXTtsfYAWvE7EYOKMUjy+iHU8mHr14uv80mdwzkfXN6P74uO3hdggL5zDeCV35E
EujncMmdb37RLdd9ZXBFfX85HSE923Q8e7sA++qwtMxjYk2re8nQkJNK09rtvvaekVwpHYpySs/2
AZzTunIdxLRhT7c0tmGLfKyULS9HBJCXOrfIy36dLzU3yU8ZGrxeDlt/AiHDs+E9wa4vl0MwDL7T
cZIfur7vqEtrI8Lm7V+eVLhJpb/EGx2elzMOgw8YGhKVTReLzvWrqLx21JG4Yel5PsHTPQhLriTF
jL/GqvL29ticYo+/3FDbcJ6OmQ+aYQYz3WNexeAUrrc0dXLOIS72XGYUAHjXnWUB4ov33+zL+Xse
imabia6Mo2JjpL2cP26/Xper1j/X/dGJqqKbDmPXnRKlv54/WnCoQWFkAcy7x3046l10Povrny+Z
+w2N41VPenGYtOPd7NLbf36k/9+8/Z90/jYDMZD1/9y8ffj1f2Egxr/wd/82+APhH80+SKPgTD7v
/+/+rfPHZq5OXjuHLCcNi/RvAzH/D84BWA8bm5d8F3dTP/xtIBb8sfEQaIhycm4GSP4/auBu36l/
f8dYntCVEVFALuJIQ2F39B3b7LOUkpNzWILcRA2YzBGZlfZ+pO8LTS1Vu7WB8PPbhL2x219tv21Q
UgzIjoG5+8rof+7rrPCJ6D3UjqXOAGue3M5adlkuuhPn6tsjcYpDREHRd7wveqGQOUoLZ1hPy/f6
OD+MuJbuhrRxT+zzVzsQAjxLh5gpLDtQlm6/5LcWa66ItUXJ5B+yytRgB3bao10HyW6UHQObVnf2
/hy+8eI28Mb1OJzptR7bUJTV2Dt1s/oH2DNLpEZunWFlWeku53t2lTj6TSEC7fP7g75+yE08yoNi
sWEYEC1ePuTopSghZZkcRKYvkVW1+cXcct+xYJ5GRTL966T5j5+FV4cnXr6OzUg+Qn+wjCPKi5gX
bVIF4bjCwvq7nRuBJ3BunHh1Rx/fbRPg6wZLxHYwkUASa718LCX9QeMmCLjdt9MhcbUnWctHHWvN
KvSaxQxdP41kS3himXQ3K4jjhTV08grlJsGY66qTWhDM1/94rvk5bHBa9s9xTi9/VICbsGsOdUqA
YJ8dVDpl5yaGuzH2JzlbpehOMZ1e7xUqWYduDkpbrM+do6NA73PwZK1PL9oi6cQeaijO3ulYUpfB
PkncK2ps51YNev7otVQgXIGgIyBEyrz0fGVPaDHoafUzIR6BUi7xoQT1yB5Phbu8XvlbMiqsLI4O
ovWO0SDSGwFmMZC/oAWrY8Y+m6TdaVhouWMdeasyDok6pRp/tfA3pAtnGbJXwDXAhV6+DEfWnuZ4
i3tI1/zPsZ6vum76Qav7KcvIGnz/xW9cxhdH8vNYeEFRfyM2CI7Gko2CHgwZ6KCW2bpbNE/usyTp
sebXA3i7ltrBIACM13JCeNeTpcSrPbcNz5VL54Gp0I8r0cDQlGNSSxzmemijQIK4YFMq9yce8tVq
o+TdfERcTmViZY639tzlHiCJGRyqOa8uLNZPFU0Jh2xIc6w7d2of6pnjNHobya5VvyB1BOk+6xb3
R+tY4ocv+vWh0szxGqpk/Wji4WtGfWq02ClMDd0U2evumRaU9JFMvx4ucHemQQx3+oNXIYiIMY82
vpBInWableNEh8EttZsysDSJA0Hl/Sj1yf2ZN4b+Wame1JVKeGlIL9X+RFvAw0Wso9EERSjD2mEo
vHMANno2sy0667zSav08bYeVNovUUkKwXNRGxEWt2UFzMFe/mpM+RXs9zPUtxrhmFk3dkn4w58T5
PKkZ74PEKqClJEAkcYDJoYuHfDnTP8FHn67b5KRXCEqm4ELSAqKnO8w0z5Y16C8SkfUwQhYUe6bw
nLDAaHeMbFXbOnbyrfYLvRmQhImQOA/RlA73NchYexjddc5vBu7ZManY6XUrTeMucMtvonPPVOKh
ejbV2jx2vpf+mGenOCjlWzT59U66MbgV+Ypjb+pfqtVMMO5ey5S2sW2dlVhy0P9PaphHelslD5np
TJ+bfpn2wRjgxv/+0nq9V/kQ02I3KJEMhFBH5xhcD6zqKj04kIqwfMCRftpNg6ldQZbiG+lJx/hH
QC6fD8p7ri0W/HmTpGL/6CuFEYyJ5M4PDobb0y9EXUWTQy+I5NDEiW3zetdsQ5EKTaccb8ZjgvAm
asRqKWDXLC3YTY8pFG4OeYR54XCiSHt1zG5PhX0tclTqT/imL488ySWFwpYNqtVtu8cIwN3LrMY6
OU+GO5KYMdfUqy/vv7pXMiv6/2DvEN0p2ZjO40gV3KLMAR+Z7GLVy2Wfidk+S12uf7BrOexyQDBM
ys0dfKBmNxg0H1thZ7FTKHlLqwGjEjQxl1PSD2f48BlxDVlp77TIYL2eiPstFBk2FshNjvXZifl6
TuB6eW7z22FdoHXaYt+fQ51+qwA1/CDydSK521wKiWqzAClGRQJkNlyUhiPx4KmDW92BroxTVXLh
Lt7HwVyqi7okOzGtZ/9cTIV4LPKF0OtUtjuUu9WZXAmK8UZ32tkFogNXyOxjEvTJzsw9BWvaReDd
mfW56tvqoaP4jPKtanj/xbz+KODQyOcPvSqvhaX3cjGkeAGTEaNyTBQNch41qXaC4Mez90d5vboZ
BfY7tBa0TeRAvRyFCqtZV8/KL4AA1V5Z0E39zsrj0umdE9XOc6l69LbYrNz1oMDoDnvp5VjKnkcT
HiO0OjsF5nanetdhBH7p6iBk7Nx8p1P6YcezLHt30BGLl4SSaGtS7CmMySXLAPjFYg87qmVUp9pg
7/jwjLGD+wKd997ZzdxuWLRTGwJXa3HiJ8hyC93dJz3IB3fDcSdLUZyZ0CLOyCKmy2sMPU0I0/iV
GfK7WYCYan5HlM4sTha9W+Ph9wlAwIXJ4eZRya1vSxl8OQGJjx8DZov1Rddo/i9WELxrjGlggk1t
5o4sSMwrMFqBYA+5ecWOJvM9MN3GdfuPovNoxL//9l+9En6RwZ2W2zDtGaRt2/L4bQPpbuqVRuaJ
i8wc032RN+5u0Gd4FcH0VKXjhacldKKr1A6xQ7iHy2HGgzHCzRCDpES11AHaQLETvV3ulIb5FGT1
cYdXhorQqxCJMmUuyulSuypxs9uBqKT7AIDwbCEy+Wz15AwBdJ132tD3MYlWLUgjaDLZIXqouZoe
JxK4fiAuIiLf/FT9fbz40SluJCra4c+xb85G1/vt6XspybIOrPJiHobP2OlPl3hT2HuxiPrE2v+r
h/vy3eNfrNMo2qTK7Oqjd4+orPeEO2QXRZ9DfwavNMx4yRP8sDocp85Er6dZmFoAC5G+ZF4eT4uj
3W9hSRbYGG3akMZWQFbLCGv/3O5m5e711CyHHZwP56pqdIK6SI9BcY0zSTXFramAVNGikJc5yl77
GLiyLg6V6xRtNBI58Y2QtRyEv21HL5aBfmNU6MCxpclK7uujUPj91smdC9z1KWuwIJyxpeFm1mMO
EsvREZ8Cf0lhdjal+GZzfyDyw8E2KDRo9jXRgCfrQ1OYI3+5GXQuq1Vy1ZpefuvnysAewvZAWS3V
uU6cTcq+7uoWlKeFt2HBSZhsyM6JzucvGxfn25I38nvtDN0Ek3gOCMBIS4kioC+rHXbhJfcmc/Bv
vaIn/kTK7moRML9D6XbVRohpJPQnN7gG5GxFFFjK/UUskXulpIVlIQKh6iE1+ybY6/a4frZKuxHh
bEt5yIsmvVs1W1wlyC/ycK5177vArtSCUl9yXK6qndyYoD3JeRPMUMdXiCLhjIfHziVKCbr9IvzP
tTcvPwxdm+5tq1yeNOGX36WrXRIpt4QyXW1U5DUldENIgjUTJ54VQnzm0M7dyKoLCAytbtd1rDCT
+oDuzfk5G52OCYGdGk+0h/tfnJZ851jvzRz1vtS+t5q0PlDZu3AJVEFQ5lDpNrISfMrsGO8tnfwr
1QWkurTVI3ydeQc1SEDOclDNQ/9wp8vV6jUVos4g863vvwSNEE/FknUrEaL+fOcgaIEX0Q/YAU4p
nC264cx/veSoRtcxs9p9lhMAzxknIYMgHLBiG8TomyGt+hz1mhcnhbG9sS6xVZyBil0ZeaGXe1wU
iMzJTFur961GEmZULLTroCwZSx/S4hrA/wp8gqJEdMvHUa8xeSuauYH3VJDtxcrIpgYcoV9ZUlat
RRAljXOrVzn+PQ3lcZRlOYaJPrSHOzkY2DdBBVwvmC2/37X23H2x0BFrwAFpM+5yp+3bXa84pbup
176WuTZWZ0gf5BjJpJ8+K81tvqaLNQyh1RF+FPl0Gts4GT3nDpuANMTEiIyMrtZYHBr8d/hGeeA+
JB7ckLCCLXPdZVTQhSnUBEbtm0D8RN2SjSGNkYIjJUwjHFFsYQwetNZ3k89EGiPswYpIDA3ai94s
oW1UYJj3nVVnd3RGl295A4EqrFkAv8YE6ltozb77aTBz3OVkZ/q4VlnpQobB6n2BPZg8GqXdXnFI
MAtNRWYjkqTEQXLgqO4BIlrxEaKgukxX847rHv5Uy+oaULAyrSYsyS7/dHXH2KFhyZ9YbomzW8Z6
08QMmjuERSOCGKVBxxQMVaqdYTEENX81++JXWrj1k9dzXO2UY4z3TtA3n5detzeHHDQquGwnjys6
qjvaBcvBn3PN2E9TX/9peK7GkjcNhFlJ1yz+jmoRmhp5ngPhd73Splj3yc3eIcgyk9hPh+yHKLxR
3xPw/lk3K/klmEftdrUmc4V5MfgIOGCNAE3ACem5PH61sD6i/VYHlbFzvUnDCMTuxcVUz9lj5rrj
AyH0krU3esOpqOXjy9XmS0P9h/wbzipV39FXylPDmkK8EQgx6/qCoieBRzA2sWnzpFqmZefvFwVv
jEeHAIYDDiP4dwdHhacBbly6XdpeDDa9r63dsSMqDIqPS0Sg1RDG+f54x80Xnm8jTm+hFvRWGfDl
VxiZbYbHhmovUD+BXhtFgaLYW25tDHh2CN4Qp7CcosoVWmwldhE9D/+PoJX/ntksHjYUKLyBwLhH
WJiS6hRA/xlluRGo9//H2xz5N/+pv+EWb6PLY9WBKwLCN8CR/4Jb7D8QilPos5h83NIp+P8Ft9gb
JZ5mFIAEBQgST+4d/0JbjD+2DgLe/dsf0g3j0ve//9eL9nV/9P9/57G/vEUB8mK4yL9BbxU7DERr
R1dqjSom1e1MHmYPUXWorIk0h0ZX01+r6MW4J8chmcMgZQZdx3G3suwKxxAO9YIFJzcyaIjsshot
zW8v5A0U50ga+6/HCTbIEVY+3byjx2nFumIXwDBT0zb39kp+qTZnXolPXjp1MY7mRFHSOLkNVmo4
HVhp3TtdNW7Es5Ndnzfn9rcfc3QwpX0erG7mtgc8VbSPVSHqTwOGKyeOh7dGAXXjgXno7eL08nig
F9uSblbjskFldp3Rk7wtsqQ95WtwapijhxG0NorFaeSh8Zxp3wx4kmWdph7ff4Evz9a/3h/Iiquz
V1iVz8kzv9046DWKdVClPBTZdOUO80dyp2XkjCPMz9ZPT0zdy/vNX6Nt/gmIjgBcoGe+nDqfUNe1
wCDwEKBPWGJ/3iRypWNiye3nhnWiJ/fyHP9rNG+jcWzyFIOL1cvRTHLdLE+Uw8Fo+raMG3w6ijOh
iUXdkeqHoUgP3bglKClL212FQILyE6zpFP64rYd/X7SefwbaXQwjIL1jynT80MKeShth4Hjoh7Zd
ICjNxrr3cCrCcnJILOeHRk5g+sGfE1yX3n+7bwzNEoUxRPsO1OI4Q1y4hoRd78kD+SIFE+0mZx4l
FcRDiU9cYsji0tfsvj3xmt9YuhylYEib7RA0oqOJXxcouojJGdbUICUPIsgvya41799/uudu2tHM
bjlQzwAQL/l4JxK43ZaoiLsDcvtkDF1oxpizQ8pXOKQ66oOP1zUONfByw1SlHDd5TUcjbNN6OBXp
8OYjo8Dyaf0FDuSdl2utTB2MTnOX3TrB6+QS2kTatKj4/Sd+YxR8aaEd8Q3hyH32wf9tt5LtZY5a
WnYH6H9XoEIj9n1rcvb+IEdQ6LZgoSpsJxxbhxb68ZlQjp6ZEHIsD4tDLKHX9j9GKacQy+T60pss
wU16BVXYzxZq3iYd8WUw+RBcmnLqz5uuL9C19thU51mAd/j7P+71it4wI9rSELMIZTvuWAksrgcN
bPFQtHN/37ZV05MQNMPMt4JKxM5YVBj7pyThnhh4O25frjWUd3y1nQ1tx3KJ0uH31gy0Ud2bLSbF
FrbJhb1Yie+AvHre1kPd7dpqJgLNm4Z40M3hxz9/aOR69Gu2tj9nycuxO23I0fiZHcqb0fvkDYtb
7vRFGfVZbSdoihujog0yNsJWJ7bY6yM0YC0Dh3tMN8Xw0ciupLxKJV9UBYn1pg3G0bjru0YR8iZy
Oh9ga3kSYgahHhM5tPmOdRB0D+8//utVDx7Nk2+cJngOx/Zu7DYXlKMWh3RI6stkS1F2jfaUt8ab
o1hgkRvrEY2T+XKS0bvSRp9ncRjlUuJqK+XtPGCK/P6zvP7e8iyoaHHuJy4e/eXLUTA0xT+/qsSB
UkhcunUTPOGcMsWI97DB1426PVGhvflYiMx0ErUohY+5Z75dqW4GBDwQ2ltGGcYrZ+Cd3YnHev1h
57EoiDiTUICyUF4+Vj1ZDtoS9PbCJf1XpGQJmMmoYksk2v/LA23FO0ZrnE9bof77RuxIUMWc3WIG
Z2fc+yO+wFYFG/399/TmAwGwb57jG0Hp6D3xzc4MDC3EgY6jPKR5B70ZEcs9mHW/f3+oN5fEFg0G
HRHq2XEjVhaO19s+C8/M5hUjnYQQ8aldyDg1lONdGUlrfnh/xDcfLmAVbrzHbcyXU2imgto4cMRh
sUrvu2MiKBK6l9/XgXcqKuSt5cehyQSCL/BtPHpbZdr7ytXx5ELXNO28DG9WkiJOwQZvPZCDBZ4H
MYnS8bhD0FsUnQv24gdIDePnource4wZiAWRunP/z+cOpgIbiq2KF+nRiThpgys7dAiHjHtmlPbl
uFNDgzxmbE71Pd56qt+GOqZHcElcZY867RDQuBbx6AztZzxXBJ5tFJw/3n+ut16Uz9FkQk8F4TvG
wozGWGFVp5in0azcl5njnnU2arb3R3lrrSMJpQEAtof4/PhSI7HWkbIQlORtm1xZdtnYyE8UIkKy
SNoVpYyPJPb9Qd+aR9IeCGjFzg+o62i5F/o8+I23sgYVSlM7DbLzwiQUUJlldWIvvzWLqMZRqVOh
Wa/QS9KNCWruOd6ZuzUWm7V+1w7yxGm7/eCjWsTeKOlsKRum/rHGehBDwDiS/TtosxMVHYk7vWev
12S4J+cJIloMX9oCgdn7E8mGemtkTgyoB1h60i55eXK45arbK7e7c7VFz3OloinJ6/Mf5Dwtj77V
Tw5ggfLt2Kw8FHD9sxpObsK4+VkjpwinJ90Am4w5hOCOjm60lloLa9R1YpPZoVmq5JmfUfptFuh6
EclNlAedpzfZbtli8/fGHN1e0ZDg3RCCaF7YFc6IsXzW+TW9NFTcbfK/Fodoogx03blun/WBJifq
z9zr4EX7m4CQdFK0hClx4WrvPmsMvWe94bjIgXatLNDMEWKGJlE86xMrqqCf+bNqcVDW/OTgi4YS
7VnXOGDvOcXyWe/o0rf9lm8iyK6V9UO9CSOhCqGRLJ71kvYmnVzBgZTXYVVvi2F5IoCaK/G8yS0n
0Dbu3xNHJss1D7IQvBV1Jl6AKDWzTbTZ0nQRW/cIpHqhEVHu1nbTeDbPek8Cr4n6lkOpIsTUXbqf
n9WhEA1aEauid7PIIbi1BsMYMOsznpWlYhOZTmZf3VR/KU+JZ0AF9yxIzVAQu5tI1d7kqsOzchWa
YIbf97OiFeoV6tZmE7piRYTmle8d+lcpgGytZ1XsYNooZF0XLSEoY8GUZpuIdpUodM8lZuLDLl3S
0j0UDfDotfJHHGo7PlMEAGSj8WQ1Wf69AHziXrG2wdlY/x/uzmQ5biXLtr/yrOZIQ98MaoJABBkM
sRPVUJrAJEpC3wMOh3/9W6BuWZKhKEap3uwNMs0yr648ADjg7ufsvTY9wsyp2O4LA6byJg+IxxT0
1R5qzSuWd6Xt59/pv2DCDvxi0ULKKcrd++RygN4fDL9FjCFdQEi6liz7tPNjIJUKYDh1QODvMbT8
z3Hr1b+k49DmXMxpluRiCEsPlSmUvwW4j00wdXr5WclOAxJqDC4xS54gEKJSy1NGpoOKWtbFJhzJ
iX7wylalkQn49qJMTYud0phVd4gqZj/CWtldQVqf6ouMvVNHqkapp2Ev4vqTUPRcsJ8YQA+SEYPb
LkssNw/tJuAymsntQP9wHl82FLYXhTRsKuot6SK4VTvu+LUig6Hd5k3cX1s2iU4Xltvn5XXQxYjD
+I4ZbWgMKdKoWnXkItEkzTF/JeSB4Do18XPVtBPu3aoapxtVN6APygb3cYhdPvX2JYTRKjIGshwi
SNLtrZMoBbwJSFWP8yo2CClWXfqjxawDT18ruJjVtqoiXfBZnpOpq7ZmDNpyizPPiDcZpDkrHC1A
y+DViH0MeSP8J11zVHHA/ZU6O3zIRrqhKmbez0taEkuSViM5sWpsLpU3Lrej7+PLbOdktSrPowcR
AgDELRgRR4aut/CkamNpjdCYrIbUFHNouaGTRg6VA8kI83aCIh3PoY+cBr1Kke+Nfk4d/C9IQenj
Atby/DiD2wWkv8EVbOXtxehhDgZvrOof5tyjHe6zbmlhXokBNyKq2IcMN0a6taxev00Meym2lpF1
N5NPmEYoirHfS/hNT82Y55JQqV7+sEltuiNgp6HhrquKa5S6eiL4S+WXjmr9vWmJuNqmY+A/2bEB
RUhbZLtsvbxtt02s1OdkSkrzYC1mbF14Y5r/hDhb9ZtENAINSmHFbqSlkrQaQ8KQWjpKrGRfFuO1
lZrVl4kW+bxLsQl+7GOzuydKrfvRZ0J9H2uRPppjM6BEDdLO2gzwK7h9RlFW0WzC/Ghk7vVRlunO
U9FnyZe88OdgM450ezaECiBdG+ak2JMtNQBrggqdHua4XH7ClkBViPgc9FBjSyJMFDACwB1Cbz8n
WjLeE17GREGrod5VfBs++yhDKsAepIlt8wl+V4gDOuPvhxlwp6d2d293VfBttvrGxGbZgi+Olauo
O6bdVRaYkxHJEls9inaTDq1B1ku2DfLe/G7AwOX/7vKVzxRoiYGRl7cMRpsPKGruxrG6mFlI4tBM
PGvemn3mBwCUJl6exHRFG1EKmw7xkvtP1azEZaZnOajMYizgsAC6+1FmemXvC9eYig0hsSw9DR6h
W6egFrG1ylmHgZcVxo9cpMUnz17W/BNm9J6TwpSHkwJTHPomgCqkurSBN0kAtCnCjUhoG9prbLw9
vOKvtH49KzJ8idXStFeFKiX9y57V/ns2++KTeHaEowPAHe4lFk5xvr8gyRF1khWWtJ58zFdbebwa
zP1nrzmeWXznGpjBZpvaenID5CX7nOmrR51uGQ3oZ+e6LZc43drm6mifmyr+kj/73MvV8u4/u9+z
Zyf829uV05sVSpComDlWHRcv8txJarMOOB/Gnn4J7S3MElIRyEAn3UIbNgWKjcu3h/xjfwtyCTsZ
NUAL7yCOgtf7o0xLEP3Wbr33Kk2/c+E5tJtWV2OEi+FcG/aP2sw6Fu1JzsIumkPvaC8mbHiavc+O
3VcpRaDCJ1fStMAvICTorU1T92w8nSL+uXop92RpzL+PkX/VqHwT4LX+TU9Nu/BmpyNNsn/+5ujb
+O3V/2CXlo3L/fSzX97/HKZy/K9+2von/6f/8P/8fP5bPiztz//8j28/KuKismHss6cRH9bzP9r/
+M//ICWGKgin0HNtx4ep+jb2dFNO/Lv/9Bl1/V9IfanMQP3kMO0wGX7bugLvX/D8OB3S5EPC/6LJ
aK7JLtSxVhMvLhoe6T9NRk3/F+5HgtaD9aFSbcPk+zdtxucyyIszAs0GpgWcari+NF0p476eiRaK
N3r0XryDxiwOhAD6e3i03RfRee2e6PSVUTHN1zhK/fsFw3g41gO5XH1QALX0jR8v7uCJPuHRe8Gv
cTDw4H5cG/mUvo7eiyTnk0iESbzzjSS5g6zUfEG+kt7Eep7+YHUeP749nv36nPI8HgY5BAMw3Cmq
rUfCl4VyD3mP3Q7xbtK6ad8UzrITHfSd/7dR1qt+MYqQfeNOUx/v2iCt7v0VhuxBAPr8d6PgkECQ
wHXgjDWwuqzX+mKUBdwDnH+4REM+pxfZ0D4CwrfOHMyPb9g6CHPPoklEq4xa3utBei0hbAZe0o5m
IbK22Is/8H/95fEfcypiW2oLKCuo5HLuej2KoZVD06TavFu8ki6Jkjf50v7AEfHLS/Wvb9+25xLd
yzfgeTAmm8HNA4V3fEkG3uhCT8m+7KkpiG2T0TvZFFXeAL00ifIIOWPDo04XKgZR2w4VObUV+XXb
Bg4r9JJKdNcZuQqgOUh+K6geWOYnLFglxOO6zGB4aVoahK1sykde6cTax2Ka6htkZ4R6lwLNsKO3
n1pseZxcC07soVaj2t5IIE0chXrHhpzbqPKbTe3qy0yC7vuCCMxlyzlo+oB5A0mfxXHjYNVKOhGJ
CDKGasI+N+wtp30AfpTfJAWg7nFpPpf0+IcInZ1Z7AuRynavtWnwIUhmo75Gf+kXt+lc1vIqHzNV
R0Pq87fFADLcyFHBzEpRzymMnnjKblx698muLmoSCaqi65/o5raIcDF0ks+aLPl7LV9ljF1eDmca
0usUOH5qVPKAx9G1deACvJ4icAempmSPs6OIUG6tJEYrmhFZZVLc2b49Q/6c87gLCLE3OBmhFTle
QNvO04wO2dkuaGoJJEqYUedkzpmPxHGXkklPd532BR8itJO/Ac8v3l+zsfOknSyxG7z8OxtAyclg
qHZuEiDTX1T7LpmW5h2mfiTFpiQqUK/P/og/7yr7Hypg3FHELFAkX9/VGZRekbSd2JUyK8MkD6bP
qfA4YqGPvPnbu0rNEkU95lCc/NghXg9VuEFXASwQO9eephDcrh+pJDjXCT1xQRyYqbPh2AS/cexQ
sy3ie5GdiF1s5nWYg8p9r1QO9SzvzDO+h9NDsVjzZeT4fJw7QLDWMCbtwFC5KN8nRLmEANDqLzoc
oujte3dyKCp6fLCe4Z3rP38xVVAxzBplULGDmjtc0EupHlvTcXgfDYS9b491tDtepyXaPXYjNKGI
0zpeInWZ+3HgTIwVBNvMIEui8B+CMb4lIwySUWmf082curjn7zCuhhVkerSOEUY4LQHwt11HGnjE
SlBua92Wl7VtOn99H/EPUIaka8iKhkbn9X3sMpuQOcMUuzFdFbUlEtXKSb1t1RK3+fZtfJ5prz9Y
q2Y/IF2JlhTfraOxgt4D5AaHaKcPyqO06caEuJalwiiIKHrsQp3uuUbR0mwgRplLdqPFE4hxs3Hm
9ywsQbLNPZPDVpu059bAP285v41EtlW/thrGjt5FNdq2hqIWBlGnDHL7kJyG/jKO+9SDx/b2jVgf
3/F9oP/CQWQNszOOLasuua5EeevWDrWquaksqkM6adHbt0c5dUVcCz1GinBrZ+71k0UnXQ5aRr4m
uaQfgqnsL1PW4hC9ZnLx9kinrifAXvBstEM1ePRc4YilbS9HcyeNcror3cHZJERBnpk+J0ZBaMoh
AcKKv/r4X1+PUVsQM4kZ3rES1uS4OuYFK4h5/5fXwq4L+zyXsopT/kCDFCnf0EJV5o4APbldFGR6
L/b/UnLIjs7AssPbzWunc+I+WmSEKeLMGwK1q6Xrb0abcumMMuuMqutYnrIOYzxHM3twTlCnrFPk
xUeyHI0gzWtd7oahIJJOM0bDD1191GsQV7koqIdRpV7Biezu6BEYF60JOOuGCjTEB4KK4HeNdi6I
HmmmuaNkTyfvzGP94+PKb6TlzdpkIVVBjPr6N4oWB6MoSn6jXb2jvupEs+Nel4FxhyFgwpxBtOvb
jxhZJ3/nqxeQMelYAyvCkam7x99XU18JrMpUO0WWUBEVliHTsCqgPobeqBnYnsaRspVEQOOEuFf6
eFvqVH0vElTl72tOZxMyQzMYUKi35vukMvt6k+rxoO8Wcj/I5YhjLcZc45UF+pcZJ2+QeJTQtNRb
qsjvcIs0Tr+IKJYFrby2NzL4ea6x3GZoeYYI5qaEhi5rylmLLcSm8qd+07YavIXRRNIPJI+UVk2A
pNOl6j8UbCU+YkxuisjA1bXR9cH70ZfZEmwKYxI32VTrekgwJaaA1oFotmdlyXdiGb3ssslx6rhU
SJwIqiW+ZNin7Uf+GFZZeHuNpIqfV1NIrpDsQKAG6Qd/wbGAcAHWFBiUof1UAb8j9LAcOp1eV1Z9
0WU1OzvSSD16MjmEy6jF8ZmGpuYCQCgFFaXIbNk+XwALSJNodf88YLLLlogQr+aDTTmQK4zL2sJ2
bQWPQ6/5H3wC1pNwoHl2MSlHkZ5gL4tDjU+itQJ8Vn8sNWmD+Fd25W47VxK6kpmVSQcDYKa91f2F
or0mOBFvvAHTdxPT+wdA3Bi/4PXrX5c5qfvrtgHosm3GJa/xYkkUq7wRy7LXiDw22GWTnriz4y6n
R0BeyLj1PSE/SltrZwShRkw8PMxYuH3+gHlJp0+TRRy93WHTT+5yp0Gw8HaY4sYHAq+J6KB94GFt
CaiEbsx5MXJ8bKP4BL2rb7ZjMGHEMyDgQnUjzRZinmrJIBQD1eTdnJvMsaZ1e3VjGIm2p0FFE4Ew
GNOPSHemL2Jq5XjfiIxSfKvqXrvtqLZzVDMnMRxyfB71bQAxob0yoMZ+6vxe5FFauHN2YSy1lpBL
0HS7GohC8YEJRhC1dAaDkBVC7dTBnUt51ysf6B+BbR7Au2n9cU1RzDCmRe3c6EIERHFoClwNhY0A
P69lKDOqHIRgkdkI0DlgFNQFiRgGLu0Fy9BW0ZPwAeSB+uT55RnJRVTtHvg0gORb7N69LZPE/NKZ
9XDt+YA0Q3oHyHFb3HOEw/oO2SlOFnxaKq+RkTMAoCNvN9fpDM5B81m68J924ByaJ13NtOawql87
fWA/VeR2wqicSaVIe4rxFEI5DkRLNwTRYE1ACGnPzO2ltHTtu04eOxkEnuh2aFIxYZkNStGNn49u
f9En1LaiztBH91o3Z/EINcwH50pa/QgCu7ebKJ06Wrz0Nkgg8RokmFEuiYuO7Ar51kYjuuLLmHdp
h/9uWup3swN+OdK6mn5CUBKLwutvaxieOvshEZPzlE5k2W98snbkxiRdNSOPODPLKDHcUQudKiNg
pfCNwQiHpfAzUhwMZ0N6IduCPFkGEL2pVT6ksjBQK5pGF0RGltkHVbllu+WkbRZbYjimmFq8OZL0
VWnBB9q0hbedqWrGezeRdX6ZJEXNc0zbRZFBKAAx6tkKvZVYVkBDS+qztDyy9KPWFWN+NwnOLKGl
8B9GFXwF495Q3pxEZs0DI4K4LO6ysufL4XV1+R23L8RmB6xiyYSb+3tKBNoPNfBXbW22A5AhAIHs
Mm9s830/lQ0IaD8ga71VZPIFpYr9CCNKZW24We6nAac+kGm2ZEAhupggn9Gbq60B2ba6Cgxyd/YZ
Ysb0ZnFyQ+54Itp+6ccMqy9h9ntPQ9N7haNWumFOpxSXXercymHW+NgWVfOh7AIi7PEcJESZBODw
clCC94jv0yu8hATUl4S/uxvcuKhyhRtjtGqx9cOczbmAqKgtAysTIKEzRayjoieC8jUKgYwAl20I
Zc/jU2EtBR19w5h2o9do277q/GvNbONLPgriPgAWe1s59nu82vYlzsJiQ1oun5l66t6ZKNjOwHte
b1V//xh0hOiT2QPwn6Pt0FzT4rTVLHZ9YNS7RIpqM4sOmH2jvDN779NDUSakyLDKCo92xRbpmC4v
iNjNcBClZQ23jYE9elL2mTv8erv6+5ooX7OxWWFlEPte72uSAcEcATlc05h57O5yUMSLdU6zuG56
/72T+WcU9k4U7Vb407GcK20tswgqRhlGOzkk0nZ2WmYNG3TL4PGHAAtwo8nDqE8Pb2+iXm+hngdG
+EnlnCmEEPT4LNc1mcpNmc67xLC0CwdtCbrisdUvdFf2UZ53+mU86sYu8YwgwrSanKmdnHiOjs6R
FY8SawaT+fXt7YKJHZxi/JF9a0hPkSyprF4I4+S9f/tSj7bR/1wrJiQPHQ+Yz+OyRqvRAczKllos
jbpdHJvBhUYyzYVFTFBEcQomuqGWA7VPnY9c7VEjqKA7+aNHg1c2l1OFErJWhffh7R92YopxHkKG
Rv8CJtrxM0iLXlmzyLkHY21sVQJeXJA1EL09yvPR92iO/T520SGhUXDMmTDYCxR+Pc07ux/rqzou
9BubhIxNrgBKF2sYQlIO7gW7ghHaedtvk8DMOan34/u3f8n6yvzxQ9YTE7t3FObHZ3S6/eOQVPW8
82Ks2WXga4euLAxWxHhEB6r9HUj293OnYcVnEjU75f6jb0WCh6iYl4zqdJa3UZCQkgRBHgN+ANr/
7Uv7czojBYYbw7lzVR4fq8XozRuaNCwujXSpW4tYyI8V4qltjop/OnP+OT0WLhsar0BrjgW7mN0W
8Nr+vMttgAXQBYiQsIqM6qo3io9vX5dp/vHMuDAaa/RjoFFh43v9ns7jpBtJSfKwNiAeIQCx0p8I
osLlHUBJJmS6TbR2p/WddZg8OaWbHB/7hzWY0LrsRJew1yBL8E5XkLdZ9v2CKLeVDpNoAdi0tKw0
4L5OXTkXviirlMVDNx6Q3bvJrYTG5Z6pcP75ytHiwE2xAoXoZ9pHpQ67qVw8M4g8YnDP935Zim0a
BP+0i/+HjsR14jEKjD2T4h+z/XgUSNpaPwaMouoKVZhbm2GrB+eQRSevJaDJyNpBns4ae/SyOlB4
iXAdlcudWoJftT2VG5xm+Zna0LNk9PVLy0rLR2P1yHDEOe6u9qxELc2DZRfMPFpwGK69JR8ZNIqN
A2IN0Buo7mOdcVGIEKNFcikStzK09bioLsrWSvoLFx2efaEXeXstigp8SQkam4S81II6nsY7DSHd
u6D3Uy+caDAyt2yrWzgbVjUiBgFwmmk+ZO+TroDYkLTsxq+pRHJOfnu2n3izUAW7MFmoHNEqWV+G
F/UWoZSZ9i2i4Er6nxcgbVs7nb/kGbl+bw904tHBz8LmgQXDZp4cbZisGTCY7ceS6d5woK+QFUFZ
OzfKn9/b1d4L9wRRCEWU48uZjU4CDIEtNK/vHbq4K08nuj3BjOuM1pk94Os60POcZ0/KgWPF8nL+
PbqkpAI/s7TusuONBkw4+eDiBt9SW4d0hUNhOsmuGET25flG/pUw4/9PBznVolUksX47/nsBx+eV
znv3rZ2+vVRvvPhX/9FvWM6K5QV9S08brtX6Ff+t3zAs4184szm5rSjgZ7zuf/nE0Wmwl2czz3lu
XWpYBP6t4bD/xQcBrNvqNWV7jGvqbyQcx68D5VqbjSDYteD5u3xUQ6xzKnjMnfrQUcho9hBqCBia
R5SWL27O3e+v1n/vFPcpFK72WDp2eOq5Fcf+1HryNTIFjP4g5GB/X7wluPDR+J0rUK5T/eUnEwUI
PRIyHdG2eB58rNefkdyZVKF4qQ8VbhoJZqfTtuhJqd0uDYfCrq1yiuBIz0qSgD4Ji9rh29d5/B1b
JSjr0CwMYN1d+2hlgJERtImxwEov2jmayJ18GCbVHTCmap/fHso4fu8Zi5nKbsQFYWUSXvX6Yu1A
deZUWuJQiLq+9Ccl3mWgxbaid+cIstm8mwlfuxmoE19m/gxyrDTjm2mxYkSi3rSfnGl+nJaU0C4b
t8wCr/Mg+qn58Pbv/GOK8TNxRTBheew4So/2MbHjAWohtOHQm3l7kxWqDgu9lWfsRsdfXG7G2ntC
9cRem/8+6nHEPupot7eBWVnVlG1kVkF90UtVvffhGPlhQJymdeZhH7XlmNUMym6Dgw318LUY//oJ
dEVSGkDx54PNUnwNFkDecbay3wld2temO4z3UjruvpsD7QkMUBIFbd8fpi6uLjLLLt9NC8k8b9/t
42Pt809CK75SvvjkHC8Gc1sh2JvWn8RB72dpDPWlEIa8IFcsjoRlpF/qwfVQIi8i27499Im5D1Nv
hc+7NLCD47nfeY1hxUs2H5y40y5tJKrUYZfiwum75MxQJ6Y+Q7muzgmak+Xx+UJHfO2COpoPVKL6
dsMWTL7LZIH82TXjfOsOg7ExMuU+vX2FJ6YyfhQakJyf2ZM9d0de7FKSLOH70g3zoWhc65tZj/YB
NuU52cGpRwibzcB2w1CM93pW+XS2kkBo8wG1ekPJV+hf0xQl8sYRmmlcOaIsPhF7TTxSpeWtunj7
Gk89xWA1aOE/xmh+/Aktqdnjf4nnQ4KAKJIeRN42nh9nNdZnpurJ14eNi76Osm5fjjZ9oJ0SsGeF
PCg9jX9qRBtSwCznyM7kLzQm7TeRLMZ8mS9B+diPS0sSVjrqh5IEmsdy0rO73p7GM5upEysIAhp8
6fwwak/H1juAfUTROaU8JHiVL4WS2i5beGlnrZof6yB3vo7tUsGkqprmyaNXcGZ/evL2s0Di/EM4
xLL8+uGXtLPIjMjlwa1F9Z2+1kJ7z26pqyfDOYTCyWt1V+s1rWGO6kdjMYrXlRmJJyMS700O43it
DGMxnPB+3cvaEzflWAP1yq3momnbcff2VDs10TlFrSxWPqGudbRYGnShBOwU7vXcAfsk3e5iJAtt
3y/f7QlUMbtYNOGsfOY5L+fzYzzaKOAOpCblsnKuAInXt7mdq8arF2a51WrNfZrLBH3laD+OQV9v
M2GVH32Z0z4grEjRkg+m2wBi03UtkviXn2OfYSuvvbeTvr5L6KndpxNRJc7SJt/mwc/2JPXVf/9e
oqbh17KBooxz/O1ZunhWg3BndhZ5u+uEmiJLy56EE0+Xf/1YeCc5rKMQ4kRhr1/BF1+5LDVjVXmZ
PPRpReMus60vKZ2sXdVL46ZGf3iVOAjNUar8nVDheT1FS0tkCmOvIbxHT6UJUEbmeiUP2dQKasxj
jmAIO9Hb13fiFaM+wK6bz9vq9V//+Yvrg6hetWxK5KFrx3ZbG019O3rTvEWLkZ3ZlZz4xJkrsQiI
mc33zT7GXGg5EmGtTuRBX/gTGyh3bQeHdWi8kDNBfi0rvHwbgJwoQK10UcbWkjX9gnipsu9J4xb1
BspvupdlgeHt7fvw52rGZ56PHBot5B68/6/vQ16DCQ4GTRw0wWvWFuVw2Xld9tez6fUo68btxd1u
1yw8H4XsQer9dyI+PoGc3w+z/NzbZLl2OvpQe/r49pX9+YRNCoFUEwAnwXk9/oj6A36/qVq3BwT8
fmq7wfpKhCJtf9C48uf/YiyKuz6V1TWsaf3Ivbg+SJPsrETHWIU9b3QEKVuNFh/81+BcYtbJy6LO
iSsWRB0SvtdDWRmpnAl+pkMZj9olTMfy0tWreid9vzuzDJ2YG+hskMBgp0fp4R99Azi8LLJK5/mw
NvJokfTVFUCJc8nUf27jeE5UiCnI8KGx3KMLIhFmsEpdzofRy7tdCX00SG9bHcCnbCiT27Xzd6iA
9Quzjkj5h5eS6O3j5odLuKypj9zCcWZNyxBGvWsQ7f9li+V5FLq/pIg7zqpBf/2gmAhmhRl8PkDC
cLZCS2RIApm/qS0i7t6efqceFPMcYgk7ftgER9MviXU/tSuGGqd+IgJa6tsuKd3t26P8ebpCTklI
yEqYQsZ83JIjI8Fra9Cyh84WV7HmjIQTdvSNFkGm6MSJ7n8xHMhoqsUEhSBten3/DHKiJ7dircvm
3L+eRmO+G6Tp/RK6oV0WOLrOjHfqJhLVxZpHJYb/PvpGgSjGLFwIeUBWWcVUBRWtmcyfhjO38Uim
/Tz9GAA6Ie03VoNjhAnY38BCi7QcsoRlFtKrqvVNURb23h84UUWl380D/W9PwF9wBTr+HgmKTrmC
VeHvX/H1+EpphnIrrN+ji06mCs1hIfTDUEi5VXH3mFFv2r39JE98sqiD4uE38Xuw0livnySQ2MUk
mEw/2K2xUphT997kYLi3O789Jzb+cztrOhjVkFPCDV2f5OuxVKZMFCe9OGSFW+6kmzMCWg21Babk
RmXf49TESzxt8kzLviy9cw7fdOpiX/6Ao4slWtCI8ZGLAz56eweDIEfErck7zWjk/u37emLGvrrW
o+9zIyBZeygTD+xjPQz9KTqQojhXzTo9CkchNmMsOcF6wS/WNrzVKu7nWRxgW4v9aHXFtZar+u93
CFzLv0c5mohq8T2ozgt1LN+XG6wsRjgnCR+WYSk3dWp8y6c8CIfRPTM3T6w+HHtWqxjz0wWG/vrq
LFKkYzulMGVrVh6xGcZtg0DxDhd08lPTRRwiof77+gxnLcTLzzOU0uvRxabKChbhU7QLcJI/LuVU
H5CJjnd57JIPY3tgu2Ez36lYa8404E7NTgTA9Mdw7LFXOfqo6r7AmV9yuRr+4H2SIKsSLZVBgk3O
fFmM9SJen664SA51mL1YmOhQvL6zwP7z2s6oBOV2JS9MEAVJaPSlfgVK2I+qRBkbUVvDYS5t4oYa
AOREqAQX8AP70EI7ujWSAMrvuOhsz0dvFyu07G+/QKd25qRQrYsmkpZ17/b6N7Z0cl0yPQiz5BQQ
+kZVXSMH25Fb3UUQlJPIZ+2OyA9uCeShHjAvsXnlK9sMpTZqW+UW7Ye3f9LJB0Q5kRrpCo89FiUY
Q+UY/aSLQ946yYXm5+lHUxnLlerBXL891Mmpj4aHsdC4Yxd9ffFLpftVS0j0wVOUYneZrKomzO0E
LZe/Nqh0VyOgD+Z5d2ZndGpgVj7OeMEqsNaPZkZntbntoQ04lCkK38htkUU5fZLinRBugMSwIE6h
os145nH/Ts46npMU1FiDABtS3Tp624klKgaeqHZQQ0NhK+gkxvres4l7iEt3FbmWn8zKL5B3ImS0
N40ss32gm8sV+ksLuWxQBpewi/LkIhewSzfERCl3V1tN40TmJAcytrtM/Ahk1vOne58wblfOBgz3
loDwkAU8FZsl1XDXB2gbw2lhXbjyUov0j8R2SgO73Jgmm0KU1PqkcuJfOdrIHya7/hZds5s9SkcS
9hJUEzrINl/GNJo1zdzEnZ3fDpTgt0W5DGShDfypWurBFzVk+RKWRpU+GEuf5ASDY/ALgUsRSO1h
BEAj6k40f4Mh05sQ3Xq/EiRyt722KJF8lTCaLiRm4yWMTX/+Wk5kiocu6qbHrhLtcs8ZUvseJCZK
3nZus33eFWsfevKJRaDFld34WWWWW7OUdo8QNR4wVRhCpFFXTs3XMp8HLVwU4c3EF4DPj1A9Dy6w
fjO2I5HbPTUgd+Tvsmd/2PPXmr/8QqCILObeQlZNpCN6wqmJ75uMtTeM6f2+K5Twr920DwCuJnJ6
n5K/8dV2lNwZwVDo98ilXTs0KqBrYV5MubmZjGQ1acKsusyavM6Apct6TZMG3kTKtO++U3Zs9yEc
OCu5gKzcW+8Md+h+aHrWfayszkJgLPLpwec4YF9hgys/zXhVho3q9ca4QTYfX/h1RpHBo3q4KhzL
IA6zJgB+43hj/FhXhom2lVXY2Cx15S+XYrQXvjXjlKU8qaVEbuoMw6/KHSkSEFvuk1DgONO1QaXG
3qxikWarsakykHaAdN922AELYtu9hrtlpp57SdNnuVd2IwBWjF6hNpYqRrIIYEZ87OwmTi+tpG5+
VmUlk8vJy7MrGhWTE2p+o//iDNenUeqA+tkZmhF/0t2pIAUDfUIBg8rI1XXlLuUnS4y09upZTQBK
3ZGDj0ywhspaZ9RhkIepHNqPg/Tsz74rdHNX6ov1M1A90KEK2iQylrRBgWdqi/21rtX82e+JLAhN
u6m3uma161HKGC4Ba9jdth9zQgbSMXBu0yVAL1/5diEuiTcpXagfrqFFQO6WT5mtpl+qpaaLFrbl
z3naPBrkKvj2GCX9JD5D8k+hRQWJ9WAlJajp2dRGkumHRd15Fj88RC8lKrLFh+yz58QkgCSjls9R
q7Lkey9c74oHnP7qtGU0WcMdv3lwlYOiAj1qXxJX4ghW3aUY0qgGZBQ8KH7IA6UwhLcEc/hXQz9j
Hp/bnmgO1Mi5vpOSIvA2GAeL/DcjlunWKV0SB6aKjQKTorRU1KfBaEZ0PX0rJLRdfbYgkVE/Uh0M
JNumt7stqLg85eBJQNl4wumR79vkApl1Z1nRqHq5bDPNrL8QUazNUTEAPgF6bzqbeib7M5pMha5a
WoiAsXwk5LcURs+hzESJZCCW9MN2kWMZufoyjRsvXrzIaOz2wxRL7mXRe9/ZVaE0bKacRAcmCt9Z
vUn5BJCwRb59r9I72x3ILCIIqfmofKggYYf9puXrVhM+wk5semfIGNRX3fFx2zjuBDTH8nvjwdOG
bgzHbrbLiOCC4pepMsfYkGpD5sesd8Fj3SSNHhZ9UbGQVnkZzkFbfUqk5WUbXXSdFRY05T5NeR5U
UaPXnRPqdTB87Sh8PCa+F+tbb0T5tZtFwhFeH2Ly79qiHwTmA9MgmEUGWhfpRYdtwCpzseD2Djyu
JnAGLyywcY8hTm132WeOzRLgtZ3xYLiV+pbJNY+P0A/a0CNV8i9lYfaRPZbtTT30yefEwH5AOF6d
bvWBmAlU74KaGSF32T07/jrm33IqVP3wOz40fd9Wm0Li3Q4zIm1MTDTYtLCYZ6XaysXtnfvCx5ex
H3Nbu6mrpM+3vtSC+HoSmiXf0+ZcTPSvWjMe7DRHUAa0hUSbVsnMucFr2eXR5JZpHrVaQGQNOvK4
w9mS+uPOsRrrnd/7fhJ6EiLErnPKVL4zHI1eO+HmSxuyD1ksaqx+v+2HvojkuCTVlthD+Ti0la2+
m2NZ3jTWIghgk7H3RTbD/ET5V//q64m1/gXdxNJFEkQdOqDKO2hWU/yApX0NYTQxnYWVIYqF6ajc
LBxMab+H3rx+gtKpuIyFOT3xh4vIKabxQUya9QuSTlzvkMAhaudD5utXee+pMgm1ptCtTa+Lstnp
ZbPSZhQ7pAwnH9keNdIsEFlJW0XpQB8ubBGK4Z0QvqNtVOGUT5aouxvTaSovbGdSubc5j2IM4dMn
S6jJtg/YXBG2iMRqlF/SEcHFBvCt+tIAlcg2KSFosMuUkzwg6SJhoynQul8Yk2HemqVhfpddnhvh
QnCIYKFoRHNZqY7y47BIj5xxbQ4Idsm0+Sb2gvqhoCbxTq9EfpugIvDfYaCyHqfY9ATi9MZ7tLtY
/XT+L3vn0R23sabh/3LXAx/ksJjFNDqQ3aIoipIoaoMjUTJyKmT8+nmK9p2rBvsSh3c9tneyXV2F
Cl94Q+1M72E2eTzICv5BvEtIOe1CS6TRAQGPKuC0NzxD7dyn3VfZf+URTSbjUYeZE9Om8ZxiE2uj
6myEa0XNzmzMJuJTTfqfCfSCbKMPahJv56q2ScybinnpyaTcGgNgc6TVqEZvirZy1HdToTpib8Xg
H2EciXqXNWnkUykfuNunXjl1M9paMABm42gWWfZFdRvhbq2pNuVTSHNhZxkVQNCmKgn1QLj8EHk+
DAeeD/gRYykCGzaWYnKkjCn5JBwZs9mpGR9EXdPTiyprVHZtQTlh22AGgoB81qAQpju40m56I9QE
sgaY+G6IMuqvGFLp2nYw8hzLGipaE9pfo/pkT3MSbSu3oo/hNRgWSYbTVUIjz9qqIhHvLaEjBacn
TuE8agD46p3RSnUnq9EnaxtWSTz4UV50V1FdDek+dOOy9YlfQbVwygC5ZrZRhjd6X8wCzSMbzxt9
wBbOtwcdGyjdauJ7/OfMu3IMTX2fJKqibEav72doQjl0n8oZjI960U+fyQcs+FFlYTl+q4fGo9rS
0D+mptLe6UZLEJF0Y3svgEljBtiISTtCxXCCTWqMVOccs5WfulG9nVXgELqZoCIcq75C7z6bh/Qj
9tjVl6py6WKIuNTTbQvt6FFUtlvSrte8Q53o4RcDmpK7w7lw/sqF5fKGg7Hh6Q1z60uUONqfmFDi
zagTScE6gS10JYyM5Sa6YzeO+PkANIaxVHMhhFBpaCaVt0ZLe5HQ0Ihv0FzTIFdVNo5ko+shV29g
0oRN4jCT7XfVcNuAKvjmhlpXyrSvegDNA3BCF004okQhwi+B3iZPeo7m8G7Ep+7DEM9hvk/xx/il
pZ1C1VobknhfOFF6l1jc+kmaZkiaZ+Ftmqb1zX+h7WrmkTppJ2IO5wpdQOcuEanRb/5LmB7oVQMU
S+v2wcMIfvc2hsH04fXs71JZB0iONCqnjY4o8Hn2ZyuNOmNVO5xcGGt+AvR4I0A1rJSoXqDfqYLT
XgXy69KwfFmPa/sghEVpDqcypo+1Gc153CSl1twqilnsShC0nzUoontXV5NjVdmEkxo0ZUiKg7vW
abiUW1P2kLkuqSed9fMpc+HBEpbIjWnQvM+92k/UJuLpHfbSw/711b1U/LBdMk0waEDRlrl1Qihf
dFnQn1AFU98byWCVm1yHZ6f2kXoD82MNWycz1xeZLVhT5PRly2HJMqh6W9GyMhlOUWvjWNSjuZlt
DPbWtof6eExKyKheWhR3onDQN1W9cFopLckNs/wFgPzx3DCeKRWLrJ4II9AIO+nxVWqHPpGVKned
aSbfO2MavxqBWhQ7OzYQloHlsNLNvbTc0EvofBD0UsxejJ3N6BAqMZ0qL9Kigxi64lNcqy76pp7x
sSmsNYfSi+PRl4ABBomGGv75ThK9SMtopOGSC3Or1sm0r3I1vMYIzfZR2L5/+2bikGKbKSNpaO/n
o+kVmgN2pIJTyCPvTsoGfoZ2gEmZgS/u3MzqyniXrgZyTPr/VO1AFS5mh5KeZiOjxZfs21ojeClo
1k6J+R8NQzUSCIb0+FpMq+gK3DLjiQZZ06YfU60Zbxsq5Svb8uKnwp2IyweY7QtxpkmKgFcDWDhN
acNvSmSDDHOd+DFDgf8rvKc18ZFLxS2GAkkLhB3hgEVJUQuEOfTcNKegAKy/aay2fY8btekrQduM
fmZ4IEiMsl2pqV262+RtI7uoDkSYxWKmeukNEeH2iQolgrFFWu0HL8OIHPvrlbrhxRX9bajFDKNM
t2YLzuEJrZ/YB+1XwcHt3qmBeU1gvkYKuLie+HA8t1HZK4vRZi/QkTZmMzZFal8NBSarXuNF133l
mbvJcEyeCqBNu7cfOaqEJlcKyCCO+OLIFV2ep+h5n9zQynYDujzbZhD6uzlSoYm1SVPsXx/wYrmc
E4cnCm8ypkWLD1hZBBP9zAeMOe97B1DoobUdcacYQfjowJknAw2GTdlr2YM2W+Ih13X9ekDWibwi
mK87Jwt2g/CQFdBL/VelFO6vlZ946V7AaAedCdC1UnTyfFEiMpuxQpn65KoRZlfEY+V7LBTbq8hx
8s/laCHzpGoDYOtJ3Udagfgz+qztrknzjVUN+rUppuFrpBbqmlnLpdcPaDmXFrUSMPOLG0spLAUl
VgpL8+w2VOXU4VoVivEtSFP7jrp28n6ce3QGMiu/riuPUsrrS3Npk3IxU1b24JNQZD1fmTTIvRFC
MIC90Gl3gW5kp9bUx3vIuvbjWOfwOqGJrRXwL34PkM6Q3nh4QVifjwr+FRyWLcAwZZqDw2RU7rqo
FysX6KV33QVQzcR4EqAPno+S4MxeVz2jOOHUf3Dnqdx39YTHEX6c81ZrMcgY0F69UXM7WEFOXbjU
bPD70gQBrAuI7vOhq1R1ZnoygNAA+3MKPaSezTxEKbrJVw78xaGAW9KPANyAlt/5UCgCZ4ZT1+OJ
ZQgfHCNHOC8jfNolhd4eXt8tF3YrgEukI0G8gvJcdsasqYXrp8VEn8Esy9ge1dLO6Ki9t0qnfuxi
bIUBvyCzsy2ttMVV2JuiePv6j7gEQwBtiZgoKrKc6uWeDQd3ov4uphP2kojtNaM3/yI/8n4QwGiY
/Khm91OdRNTvrTFP3k2Sf46Rreusha4XtrG8TBweTBISd7mNVbWvEOvkWlFGPb2qkZa7oQSdrWQi
F0eh4UokgGiNtux8AjkUCvnueLLKKr9OSW+pscdrIl0XthGSqkAXCWoI1JYOEIWTz0UhuvFUCst+
mKS+RkMK/aA0BQO+/gUvHEwahSBjAK/yciz5vLiwQrG1PU5H57R+GrdgC41hTr+Rjdo7JEUoPDn6
kJ7c2tJWLoULW5iBAWnStEfRbXlcXBpcs2mQQIETb8j/0a4td7TSUfzg8qtzv6O399gPmog3lLii
3AcU0bYr1+6lFTAJ9wHccU+8AFZqE1AuRUwgabIq/ziUSJ8h2uKJW7szm/u8DiYamrZTdBvFVLy1
yOTi6GDEaaUDKDOWrn/0pBPkcIzxlAqvR+AjalDEdsppLndaqk/1NUKn1S3ClSYdgzSa15DbF3a0
zPe4/YF+Sb278ysrB64B2WxST/AxctzAnOTWaWzr3eu77MKOBoIuHzeZNyN3cT5KghQsSHBLPRWm
qE40HSj0Rviqp2rvrgxlyKdkkUKSPeK2JL+nRA6cj9WbjTDSudVO9ax6X3S7MO8D1m/Tohe+myOg
NCbKMr6RRFDlncE7WEaAY4bVoGRk60Nx4OdF98HcR74+i+qXZhN8a9QRP9BySa6rYqivchosBOO4
rO8UOx3fW7UZHJTaTQ+2E1X7tNegnY4dOhqKO9ykc0ZNK+m1JlvZu5e+Hg8AeQ/aA1BlFsFUMk12
BBBCPQmrizH0VvsdzaZs+/rXezkK7GHIdnCAkKPmiJyvqBDc3VnSqacBvfr3ndK6V7hNrYGIX2YE
htRJkyrQMsdyF+80ivx0h4HsnCZPoQLnaflTXU7jt8pW2vcqGN+fb52VlDqRTH/mRFCyGK/vHK0u
MEk+5QlEH8eaAU7jCOt9+g+GkUonxJQwmZYlstSwJvyX4+bU2XWyn+p2uJkNp/ny+igXHmJmwj4A
Zy+FW63FORZDq2c88O2p6IPsysUGvdmkUfvU6nUQbLMh7nE5d5StBP7epl0VI9UFsc1YiYBefkTK
R1JFAedB5AaWPDbux0jhTzrQZGm5xYnefpqcIpdEEJq/G8cJYuvq9am/vFvATgDyB4YP8gqY0Pnu
xH0kodWW9icq3iamFDqVSEhPynXUDtrH18d6eRKArfIqYwoFNZN08nwssGRa3umA8A1EYre6Wg27
VO3W4IfPiKHzKwxFStngp6ihvlQ46NMw0XsFFGkNtfxbIHKU0nKvja7Qc3OulUQzZKcy0w4pfhSf
jXCePip4G04bXWtaKnbl3K2hnF5+WFSdCEowU5cwrOU2Nuxac0RZkRwNtXZoqm44zL2V7hpUxm4V
kQYrccmFrwrmnlXWoJChM7K42UAViGaOR0oR0ZR/V7Ok3ePXY2LOYQ1Pb/yoUriFd4KHDpI0D8f5
R+2L0RpIGwxW29R2vTY4e0jua1KgL7bOX/Iw4MTg88MWkn/+GwIyssC7ABc1TpBy/tTcmqYKtnkr
x+9ZUPRs5zAKcQRwQHRySK8Xjx9hTN26cWyfHKUOi21fpVO+V8op2CPa2iRXriIqcWhDz3k/h1ry
JbcqC+m9vgmqDVy16KFU2vKkTaX9C2xOdQvi3PtpOvLRdrOYrrBjok7rkLV/dbNB/Mmzbn2PEs/+
QqNwblc2wYU1Q9wI1gUPuXwUFsetxlcEDFOqnjyqlPtWVVwfDXRtper1YmtDf6dEieYo8TuAucXz
FnIGRRp76qmnAnUTm6PmbjSlaW5MUce7yUbnbGVeLza3LRkR4BodUm4qsot5xQGKmzoqk6dWC6NH
zErdu1xN3fc57axvb97c6E7L/cAml6SF823XWlVqVoGrnRD+n0DotED7A3M4vD7KyxuLoolky2My
Lv1Cl2THoAWpMEyNdbIruz2NYdsd0KdOrvtJITCJihgArhrkqAyLNk32oVHWW4LZ0tuJTNH1gxVb
a5G1XMTzoyB51CTItKXkW7T4rJ5aG22baNYJSA21Ilxego86XqIIHQ9e/iGe3JmGrlM/vr4UL/cs
w6KuTPkWSDwV4/MFV+OxsTrouKcOEdDbPBbTo4Nf0Erj7eWelVKyBC0k3ugLLyWjgxoVBOyE7ROH
51qoebtVrOpUa64idb++vj6ll9uVD2qh8U1YwVjLfFQN3Dp2MV868QXjreEh94NkAYYmQb2Wjlz4
aEgVkQ5xI/PYLEVVwgD0CgAX55QpoDufcoOG9kZrZqAomhuP+BB5bRFfVVjIRCuH8sKSomxL/YG+
FxXApVBvh41daiWBc7LJMY+UsfDg0rw2O9ihCp+ohT9x/eZ1ZUEJCSm+8c8y9wOmUcXSYu5ko+y7
BwPW7YMsbcAHiW5lcvLeXxwG+SLIchFKH9wD57uytTOrUvFtO0V214C2wAbuyu6c3jyUztxehXNY
vs+N2fX1RAyHsszUFR3kC3tIQqRlr4t8EgLH+Q/I4whsQGd7UNGd8YDPyX3sxNlVQ/n59UW9sINs
jgb+ILheE60sjn2sidBO+j44ETcUCP/lwMxiF6NHNRzMD/zJsDPbUDG2rw97YX40u7j8pIQyQehi
gYFfoXzFk3mKRrsyN3Hgdt+UJqNZNMzxj7ePRUNB6m/D7od0c76WQxSqEQF/cEp0awSDUpVXwoFQ
oQh7ZVaXFpPKqcGtTnRNF/58JKhZQAtrLTjZoky+knFb73Qv13ZFjVl8k7TzoZL+pK9P78INyjoS
YuK9Am94eQfMRWYn6siguWLo+9ShTBsn7t/8vf9XHfoHYDo+ltQt+feiQ//z9Cs6kxv6v//mL7Uh
z/2DqiDoesooYJhJ+v+pNuRZf0Aal1Rkky4hqH/2RFGKNvrvf1h/YDoBOosXl0IWP4L/6G/DKP0P
HL0lUIQ+GOGWbDP80zXrw1/3FIZb/1abbdHn4mVF/0WFtyovFE76Msy1QNsGVudZeyR5Wndra2GH
xrI+lPezV1qA6ebZ+1lOIuk39PTTKy/s+kdoAaDPW9OIDtxQibarMIR9DOzQLrd1pOaK77YAwVZu
3oX42l+/lYUE1oi4C9ynxc0XOTh5VkFn7pV87j8DtNZRGLbcrerN2q+u75X7whP5k2eOw+0YZCHm
O5ldb3IHm2Yzz73HLuxVX7X7FA1wYKd+Owb1r1zMwi+E6hYblBezJ9hA43s7VXGmjFHyntDhlPFr
vgN11+zGoZ18Nauj+982zd8f5ncxpvM3U0Y4pPhIJFF354bANOb8fhh1bKtrdJj2el0+KZznp8xK
h0elaLVd5yVrRMOFCuhf4zmqrENJLX2qRefj0ZVWQDiO5j5qHf29EjrOxi0bbRvpNcSIQY2M90mQ
W9+IjIBaDcCi2xopuA6A813hpuLGQbjwyjYD9+71hTi/s/7+YcTzFJABO6Aoc/7DGq5/wFiDuTeb
zNt7WZch6dDkh/9gFAwCKQuw67XlcjsG6lfAjljuTJQPpU2zNszaZAUHc/6UPc+FAg7pEH1FKMfL
JkfJYQrR0TD25dA0x0FtJh9tGmCOUAg2b50QJXcCH8Jz4ko4RItl8xIK3R6AwqHN0pMlGvsU45r7
6fVRXk6ItSISAEZFXw5g0/koxaBVXi8U9IadpN3RqHKOrWIC5OvS7E3RP2sHwxEMrIRt8IYRMZ8P
VaO7rWRWo+zJux1fLUHjqmPlrCzbckKyxCcd6og4HFjvS+55HSUGFsZShDWvppuwT4HfzmbxJUT5
cCWcujAUwhYmYEnUQrhv5cb/rWyRFCEQBtFi5xZgmDCGSlZvhNqpXxFToiXy+oeyeaN+C1OJT2V9
GUQU09LoEtjyvvlttDzH7zXCmXpvepg9+IqYq/smKpMAR10rOOn9YGLWHEfJQWuVShyVwZy/NI1T
fupKI/oApCNl1dsg+oWdqHeXYAGgn3QvGspNqJbdVWxhXrXrhgyQLlHyuCsHxxt8t5kHlZhNBRae
NHP1YM5K3KDxkDXvbXhW2JDOmfon8Cq4R4qVOR+NQUO/ElUZDwZImzrdZnCt8E5Nev2XaQ3VvDNw
T8YjXIndLXr9ur6Z7QDmdVsDG4KJPR3Vwm0pwo7B/MlsiYZ8YWXtN7uPhtSfNBNL0gBKVObP9SDu
+lgfhV9P7C8/V1H6nSPL6w5uUM93rh5r+NXCO9jZRPTTtseh7SMnLv1VYKRQvIOaLeorKEgFfIle
vLM1UbQbYwLLuIkb3aFTPQZrGcfLjSPjRimQQFWaeFx+6t8+ZQcqPAlzddjnAUZXNTLfW5M0cj8m
sBhe3zby/P4ruZG7hqEopUB0JB8mXDkfalLcCDULc9intaac+pblQUcDYxeMFj6olVueFNPwPr4+
6IX5EQVxQ0ocC62RxVZFeZTiLKSevZ0q6i4OuxKNfQyNr5yuyqOVGV4aDFSWyl8eIy4LYU3YoGlv
OiPWJmMH3nwYr1kHmNodfmVvnpcOQQOsFB0lLubFd2vAn9shpnn7SfGiQ1Ll6aONecrVkKF98vpQ
L087YtZkhUioojGHB+n5d8NFpDeogSLpb0F/8qbMO1aDM1/FRa6/K1VlfPA6tys3+pQoK9fahS1j
cH9SYgdqKuPV86GTvsocNy/GPUQeNd0aNFkzX7it9iFzWud7C4HySxSGsf7mD8mZkK+RLKSwxovV
rbFB0MuuV7GuqfSdgYgBpCUD10J8oF9fXLnpzw8FMglUtAlHiNX/YrH+dv5sqsCpHWBvpHfWz6a1
AgoMU/qmrF6ePAZhIrwQVFBR8z9fRqJdG5OeUt2XcRVBBsVkHKcULJ3VznljhLUcahEqlI1dAQLP
1X3Va7QH3ag60CO0V/bFy4PGhGhBIrmC9gO3yfmEqKHkrtq6uBJNcDoNizpmhnU09D27XFm7Cx8I
vIxEzUPTZjMuJtRUCCBg6KjCJbWMXQH1BfZPveYtt4zQWTaQxXTICBRkG2Wx4TyhtGrDxbnXk4Qq
FrJfhr4pKjX+IRAX3RkTL92bbxCGxJuHZ5wWDi/A+RrywqAlVNvq3m30z6EStycni77pTiPe/rHI
ASkooVoKdmHZ87TyqcHmpFP3NvXlT/0Udsd+bqPD5ETTymmi5/TyPElZJi58djs9ucWNEdi64kyV
gsFa0lYBhe0uc3a9dF+Zq2cjlmdTliiVBi1GTWC2G4UwT+WzhQuKkti5wNDO7gvENhpImNLwhU2B
o70zO/EmczUsYexnexjow62yoeyCbYzxbCHjPdvJQFLDWkZWvp5qE7+Z4dl6pnu2oUE/bv6B/D/m
NP2UqsW7qovj2hfhPD5az1Y26bOtDXVcLG7McChTP362voFDhg1O/WyJk1aNl200tLm/imfTnJ6w
S8dggObfIQArio7ds8lO0+j1flYqrHda3vkntBbG6gqWG45LxFXedlLCCCt5skYLwfksel88m/q0
VMef6iiybtxaNTYg2MqnDAGFaV9Cp32YClQTfUhn+YD4eKia/oiUuOI3jRF/S1Ad9/aBV5eab1Bl
/I6NZqr41dQFnywrK9ExD4QDjngsukOQF96IDY8e/TAsq4h3s9akwZXaNNMxiR2r3PVVOA5fE+qh
XxqzHeGAq5lJF2IWndn6OewdPGg6vXEOHtYW1T4azDa5NfVaMag1uOn4ecpzBLJx3bATYmLHi+7S
2UahiQxNH6/1PM0gAyKN036w6ilKkWvto3RT9LrQtnoo4oem8QZzMwSh5A5aPULbUkkwweIsUXWf
6NW234PNiUe/z4VefQ9zGru7uuicX0NoGOnPVgnKzB9zF6OoIm4RwzCaa0vnf5q4sBB3htXUHwpk
Vj8PTRw/Jj2Fhoan53OqRd2TSp4abyoxqnS9BvW7yAY9fCcRwp+x4Y5PXuUm9zRoZ3WjpzBGj4aa
V81OR0DKRFdOahHMipNC5kRdAIGNatZuQkstcG2cB1zbzMILFVwz89YFlBiE39QpqGw/h4yHB1Mb
pvAYh7677WbhZJs5doYHGzuh2Ud1bdxDHu8HzCzstLtyQ7N7RAUn+NQBBhuPbkVFHWpYA2/xKg+1
ajiywjFiD06cRyYAT3VAiVokUFVmAqprbCRj58OM8dMAqdWoHO97Vei9twlFNrsPYwlP3/eIQ1iK
AZ9kvwsExOzSrgtMweJEcXaYpDfWrspHdH+mZjA/iaACwLYRjmKePLMAmasqljjGmaGpPnL4efww
tb0HgUWrhLZT6wBwZj2YzQDMS9NpogxRFMJIbJQfpTcZ5b0b4rIJJbOz2205FYV3oyZaFh3btHb2
xCR1twnTOPqW6Dnm0Ih52IZf0Vj+7tnRIB7b3IBJ8noYsejsPT/xUidSNpOp+7nLIM00hiRFU3+i
gYwYmBJn2SMo6eld1Qw6fPbOez+xRuaOSta4L4Ow/JApOEHHNmIWpWEE49XrP+jCs4n2OYAPWeVH
eXNxD+fof5d5ac14pXPAa1E/tvAV/dcHufBqng0if8RvwVNCxoGi20zwhLQJfNyy1igRjr6CzvIn
Q6SrArbyTVxEawwoQYhIm/OeLUsUTTXXAnXSvTAaOKI0qjSJSYtHlCisHrpbY5QQeTs9A++RF5br
I/ijE6HQvkeD2Yywh3LQYL2HPpWeUnkbb4SZKr+0LtVOc01u4de1W4vrCQTe4/Nq/X8p/R80jkEK
E90SFHKp4QXCTvn3VfX7smsjKcr/Us//4v/pn8r+xh/SduG5zo4w2j8r7UCM/yCkJr8kUwGpJo/m
35V27Q8q3zDkCFFlJZTL7v8q7YpO5V4mNdRIQWZTa9ffUmpfbEyp5wsAR8fWCnwouSe/4feTMM5l
4UClVI9CCRJMgzvlWz905qeWjt4+ouN3B4553HLQf4nA9N4W4T2PjhEL593jnXnRf6pGpRjRuFGP
cYSkvF063olmbOzHRlyvdNQX8d3zUESsEkAHL5bW2vlEE9tKOidt1KM6RTOo7u52cE0EOFOUVpz8
HaR9ZeVqXdxkjCg7hqRmiAhhH2UsRoyNEgAeX/kowHrXWCNqTzwAXv62lPN5GK4LgLfkaaQbizwD
UZQkoRqjHpE8ibf4qA9HDaz+TqucZuVuXmRPcijZOmen0JWhEbS4mxM62mnXZRq1rSL4NbTjQFDg
lL5RAR797WB9+Otq/L3zcGEoCxyaTVFX4gyXn8srYKTmrgiOARoWNeiOkQ6vkEU73NvXUAkXvhSD
QQslocY/ZwlGG4pIZvNJcGxLJf7TLoz8aOh1d3h9Si9HgVBM8RhoAWB8yFHnO1BkwWjmQeocCVKK
XVdh7opoXrkyyst97kh0A20KSTt9USxzCagihEfso1LH5T7FWrMlEEG2F4mC+DrohtGn+jyv7IwL
c0OrEtoX9xvP9tJhogjDNqVK6ByNyoCcbarlQTGraWVui2eb/Ud+JqEb0h7KBG17voK9qYH5hDh1
NGqoPrZRR3dJ5GbH0FCcd6jBvFkID2420CIKZci+cUstyh+dVaq2mEz2e1nofwK963Fdxcv11I9i
zZ/xfG4Mw1iyKg6riCfBXcY9GM2GWD8r2nGsMYt0CzFsczPLb8sZHiMY33ol4z3/YvK54hRTWMWD
BCQFrZPztURUIkU5MOZ2QglmlxYhOjCTBft75Xp6KZ+H6CyVc1aPAWWGfT5QWdBgUHouDb0pEdXh
JU7SjTqhmoGknLfruja9HQpExPWkL29cNNJ/lgU6dmbXGDdWbga3lhGNa5j3lzQC9irQCoA5lDCo
uy5+ltPhKDpMvXochwRXZT118WASiXVVeOgIzplrXY9z0x5y15223aTi0TLo0bVZNPU2KB1pH2Kh
HdpYFqmOXh14xN3dmJXe0TbaGYniyJw2fZk522TKKmxlLE/ZGvYQXI19GW1jFOC2uKFmvh729bug
Rlo4SxEkssN87Uq48KmpdoEkA5bDzf38hX6LdhFQiSh7mYgq2o3px1YfXQeRVa1cAec39vOG4up8
7oHLSMeVf/7bKCN4ZqysCu3YBE161dJ890UceEeZc6w8DvLl/Fc0/ddQoLhMaH/Qz4ngzocKirlB
s3vQjsOo9tsY62sEvyzv2lVG9k3hGFvC5OlW2OGabdClSXqAhSUIV0qiy3Dqt0kmlNdCTwjtqJRW
f6PkjBLUonoq7KFfIbpc+GomcCo0cSVKHDj6+VC4MjftPGnaUcSdd1XTILnSsyJbYU9eHIVepoR7
EAUu4YxKmil1NBlccUlVHWKh/7CaYA08deF7mUSrqEfqvH/U9M6nEjch2nJKpB9Du9d3YaNXEmrY
+J3R2s1mSnXnHp/qbFeEzbjyZFwcGqY7BkvwBvGvOh+6s4NcCYxQPwbplH3A8Cl/stNc+zx3dv+g
Gn255RcHvtHY3vb15/7FhW5Cg5XwVJJYKDpL0dhAWG08BLOGm6fZ34RxE+37to0fwWON/jDXa4KZ
F7amxBoihk012CUqP5+pgQ6FNsQ8IEXsaHe5Undbda6TcpP2zVr+fGnXUFQ2ZN4AKmRJA6nbEFAu
dtLHMBuLLYrY0b6MViXYn30FFufcJNlBsYP+NDXZxb5ppsAG4G7qRzsoTyP+2FmlXBuR8k5Vw8+5
QkTYO79qw/zQRd53TbgbRRt3nWUgdFboDuJY1spuujRvOn/Af2XOBH/hfI0bNKvcokh0Hml6u3Yb
pKe8t/S336S8yvB9CKVAGizJ1EqVRB3aV8YRrfH8Ho3I9BgmyMPPAmP2t29SshPeBCknC9LqfEKq
WlMjdhhKrSPxQ51DioDRbH8OoiC5TgOvXUn4/iK3Lr4pyYoGpFk2Ll7QeRxqqsYUVtZxbBSvQYpv
sO4Vjo+16VzkC6keIoe/hVOlfEyCQNE22QxaELG4tLo2tDyEkWtNpoGyk5Pf5E3kJH4dxdp4hYTR
MB2CsaLObsaZc111iTZtFbcTd1UYDJ86kUPl6aQyxa618nmbI9wKTqumuLfxNKX+qJuZ1oEFSNXP
yD46t20iYndTgO/WECnojU9961gPYd1n9y4Mq2mP3Fy+E5OH0rXXR/k90sWzsxnyGEpDrwkkSC3l
DhV8U+wyM5t/lVwZiDeXbn6KQXR9spBvq/wqyng9QhexRFdYRr5vtD68Jxz0pu0UNVaNkHDv5lfA
71ABnabROo00hkf4V21bXhn1ZNo+jkPRn2Iqte2sdtfobs7lFtqt+bUasozIRKfttYXebFKJTXlI
fOS4smAbDQlYNV0Qv20SpUIow3Qi3UaM0wm+UIZon2JrdpVNG+T9Z7RCgs8eSosfrDl274wgUUza
AbYi/H5EnN6XGjTpJstGnOMnvEXvUUXUf05hOQHCiGYv9C1UHD+NuKAbe0sNlK/pNE3WrtQLBElq
wCg77JO8aGvnhZ34ZZQ3Rz3EUcDvalN8iaYgqHwjUjsXhdXYfJqTcOBfMDF8qglAHytFTemytLlJ
tzJQw3E7qGZ2jXRT328Kw2yORZZnGeITc3oYUFV86oPCHn1HSZtpU3vCeqii2Cl8QY09gkHnpd/w
9NFKv9bzXN3WNXVfVP+d8e2PBawKEgCCZEA4S5puFiiqObupeWzyLr/NWiXFAQ6JulJRg71q187b
gwsp6EUhEt4Nd4x8Nn+LY7REaGEFlf4o9Hy+zsAAbmN1VZblwpNE7EIBC0An9Mjluy/sbqbX7xhH
F/XNTYf263bWc3sTYiq+soAXbmbZ7KeKJwt5L2gZlQ7JN09s4xg1Rf0RAnB4hYTcWiT9koYJSoPJ
2KS6JKBowp+v29BT389C1TiGM3oMVEsCvx2K4HbKp77YdJg9CyA3NJCUcuzhCXfIrejZmiP9hdBC
2nkihI/vF1fs4qmng6XOZekZx2yEVbXpyiY4KoqFcO6Mng/pd7JG17u0vMjOgHOFQUFbexFGjZMh
tDINjGOdQDOyElf3i4o05/XXSK7e8m3AvAI2rQXXmYT4fHV7eGgg30LzaFnDT7tSPtWTdTPG7R1h
8L0bT3evD3dhUrw/0JHlcyRjtPPhKK8qXouDx7Hti2xPJcva1oM9v31nsg+AAEggysvgF51Eu/IG
JhUqOoqxUwex3JzWIIMvmYFUr/mbgFOisAEHnU9mrLNKRIWOpnRhOp3v6XWoXkdRV92GkR1yl46Q
1nzRZmW/a9GtpdBqqIlPtYjwt9BCHuACluBDYkzlz0JM+i7hmDV+1leBRBlr00E3BuSrS1Hi5eJU
evdTxKgRR1WXfciKovr+9q9DrMV3wfmNutJik/fUPJy508yjaLpoa/SjsxsDSPtvH4Xqv0yLcYHS
loCQgTsQj/uAr2Op/adZTYevyF2uuVBeujckDJZaEqEs220ROEaTlIlFRvRoR6H9ULCcHwE9OY6v
5JZxlaAVpW54FbQfk0C+ExWj6dgYq7WYSxseoj/wfKRAqAcsNnxr58R7VmkddZFr74egir7NAQ//
60t64danlGUyCkcYBcVFjjy7pqKg0K4D9sqepiQID72lVn7W9d3u9ZEuzAclGHoHMBNV9E0Wt1I2
0Z/MatwWohER09hCiT1XnGblVro0iuy4PAOGgPMsNyJAy4IwTD/GnRaD8k9cFFSJQF6fy4W7D5OF
f42yyHVsh3K6IQb9mJcgT6s0t+9Bg+tomMfzSaub6lPWl2uJ+cWpoZ3k8XZ6vCaLT9WF6ZxHTc7U
Shf9k8Ybr2r6QSsLeGFDeAQ34NmlUyiyd+dXU6hE6FyVo3FMAkvfDqH3VaVrsY3LdA1HeanYiDga
VROgXSRo7uKczV2U2IKC7nFupJ4sjBVvO8RxSfeF87mZy65AJpxWyg51uu5gpGO8r6k2b63ACO5x
rqo2CX2uh9e/7YVl5lf9L3dnslw3kqXpVymrPcIwOgCzrl4Ad+KlKIoSFRo2MKUGwDHP09PXB2ZU
py54k2hG7zoWkVJGhJwOONyP/+cflpnzNdC5W1UNhgMYkIaWccZ4u9mnHAn7qIu2JPzPoyqfwBVu
VjbbGTT41TAYysdj4abmOQ3rd4Gl/eozKve07g6OYv3DlXIXK5/sSnnLQfFhTibdxwvnwUmUxQ5O
7BqnhkbdDe9lMz20tZh9LOQ2Vvm1J8GBC7wNaEDzc/UtGWYIxD/xJCbdqW5DDOwOYYxJ8cvP+xpw
QCI6fxThKE+txcsVt/Q6eVadeQ4iU4R+ZBZVD+46m/dyKNvkUNbdVB0yWIyJx+UgT+/0OQEAD9wi
+VjUIXkMssqMP00dzgt+aQEqVVhUQFYv/6DXHsdiMwG5mYWB0Oby5wxLI3bzmrIq63rbr+Yo26ux
82qZPXMFpNFJi6EIB7y8HGUE32uZtXmurLE9FDqRU7Kv6r+xyJELoViElglqsdqM5TxMUZCy+rj8
9ftKFflREM2wsYCe7yVLy3yxGCK1HVh09cQowBEyF6V5Njs1PPQOlrmu1NpDWbSvf2zLUFjioMRE
jbGW1k9OGqdGU3Bmq6GFqzWpYJ/xat6CYK7NiKOLPhP9CEhGq7fT95C0MIiiqWWZsfTsGJwrTCz3
QE5J8fDyers2Fq3BRfRDLQIL/HIlFLaR1qZgvYWVHb4ZK6PxzcFRzlONUv/loZbN5rKWp3ajplpi
1ihH17UGbR1djoplnYthKk+kgRT3udnmR5oxzj9kQIRG1bfq1hq8OiouDwgSuHFSDV9OUGZtrtmN
ap1TMJh7bLZzQUgDnm74qfB5eRiRZz/NksApdCiGQTluh/ah73I93gdqgxVY26Ui289Nlxm7sFfi
+4qQvc9OnsXE7VX1+Km19PKh7ozoB8kdpusFad18HmjYkaSDxeFbrSqNT2qVuQ+BNhJI45iyJ89u
nt5Wzdh8GMLRdejy5NGxJZuAUz0TuQfI05UHqyy6d4EbFd/ieqw0vzMBjfwERf3sGZkbPtQkQDxY
kaV9BPKuaw/Lj+Cx7Ejh9VQ7FD9hyElzY49aMcSWbgttMo4UDCY4VtlFVs+0SippkYRzbiciDysi
EE41R42fBGxXJhYXuyQW75s+Nk5pUGAVnxBL7Y1SZm9cRRa7l9fV8y2Tn2LhR3GeLkKG1QmiyLES
HcHn5wyP9V0BqcMPrMnZmPS1dUQJS8OZtt2Cj17OWe+IVEhqXZxNqYxfxoG4i6SQ2SmAZnme51Z4
fV+6G3qJK1OjH7uYPi6MEWqyy0ExFesMfL5sipfwi5YZ8UPd5+Lzy8/PuDI1nVsV+l1a6TCQV3uA
1fSmMzd9cO6KIVG9XKhJjwn/NCgH1carw3OxL8EtlFblru2xoOgUtXZOqQ3xbB57gV2x7Sgf1UTS
lKWKMMMzlgPzW4iY+Y+qrNxwz90wcP0ULQROIPNAc7UnSQeTXIMqo41706syPaEQG02ib0Ge82xX
GlVlESswFe+6JsROxJVcdNkOg3TwAOJonyhBnj5KOefhmWDt1Cb3T7S5B7bbbLmmXtko2TygGlD7
oRZYd8dHjND4K7TPTT4Uu0mPIq9tq2JfVMYW+eTKUBzNYFZcMAQMpdVbn+d8TvjYba4XqThUAaC4
AhnpmJTdlpDqygKDWsCkTLS8C3v/coGBW/dA7ROzQqWHz3otjhG87I0j+too2O0s4NQyn3VzqFV7
Fwut3CEOzXJ9rvhwqPU52DhfroxiwigRfJ6Lv8+6calnTVq2kTTPS/fy0Ao5Ho1sVDYsLK+NonOV
QDBL+/AZrDiVLtnT0jTPudNZh3p0u1NZcGd4+ZtcXvHqrAROXKTusD84L5cl8hsaO5kJyCZbA72X
DBRRTT6a0XSyjZkeBZ6uMhD7aFZ+vTzochV6Nii6oaURoy71+OWgMKxbN3UT62xzgFD5KtDbqbk+
O3WuHSMYzFtMkCvPcmHwMCLQ6eJrcTlg33OEyrhXzqZbSL80idKUjXidhno5rXhNC6MFnxdId09X
g9+eJVESsWqT+nI2HJKiMQaAyzUC8b/88J7PxUQlApxDEUXX3F3++W+j1AQ2tfoiaAuLNH8IilE/
SKxnXj+KzjWJWgb/UMqo1W22r/tRn4LaPdtLN6bT6+abSOiYv3ou0NF4M4Bs8CLXWjliQ+y8wRPv
DEckfBg7ZIjpnCQf/8Yoy8uBuMqM1r4tQ21NkaYtHLumK08zuT+kXznJq/sai4ySLQFDBgxf1zdt
ao6wTOwoOM8IEr1xJvdsCPMtz4eVP8XTIuPuwQbKhYcO9Ro3EVPbulVnu+c8QT/gUKWRjprFuzof
y+MsooXRNBW7pp/GN0qeF28UwqhOZVy1voMueG/WMrstw9C4m3Ta9gdzct0Pr37e9HMXBA4gbmlX
XK7QPDFnA7ns8iNqzg2MwH4nKmPrO1j+lMtNhOKQThKyqUWlu+b9OWVP0FiaBedoLpSbtJ/iQz+V
yXnQ42CD9HPlk1sMGBYqDGxqSMuXE2KeVUFmH4xQwo1+0LWWb8uicjbM4q6OQllpcbUEKV1jVS4I
wDzYVXDW1QqRhhZVaIoi+/Hll3P1sUHuxtqLZgoEn8u5xE4kI6dkFKcpg72qhxEZVnN6NyD7371+
KHgoePcsH9+zejnCz6cw2jbglVSNr+k94fKBbXhpm24xXq49OzYSc1FLQ45aewlYbTO0JbF359wt
prdohORhxpHt70yIEplvHIYNJIzLZ5dUGhx9hfo1CuzyBKGa0wr1Jh6oeXfz8rO7NqGFM059BmL1
DLeD2aHgdjMFZzK9EiRdksyFtN9S0l8dhTYpOnOeGib6lxNSQ5RdDpk3ZyWakz+TfPyYR5m+UfY/
P+0pISD5swJ4bJyNl4P0ikn2TiWDM7dT5QilInmrFZH0ZK9mH2x1M6r72qQEDSm4HgsBak1njWi7
l4T3sd2LuPhA+W/csU1slenXRrGBa8nCcM2luXY5KxEaWh+nvCDwG5LpDfKKTDx+37+8DK59rTYN
InrLdG7YTC9HmUUGGaQZgrPRa3IXqqlyF5qNcqqKbCsS6uqEQEtYbaiT+WIvhzLrAkEhEsxzRVH6
rShw3pfQ47ae29UZ/TbM8s9/L1/wBUBtObMpFK1+p0rrHkf06FgqXbVRwlxbd3xAS3+VSob+5OVI
oUbKJ2JSbptN+7E3bMSPyjh49BBxaiGZbqOWuTYxNB4Yii7eBjzDy+GmqZ3JaDQ5/xPTfmy6pPpU
BK2V7gI5ThtTW7kVPVUBnKvkaNGI5x69brm2CUyEue7D29m26v0Ehvsdwk3xue/toxJa41kd4/wY
c7kAntSqm0SUdubpY/BIp7g+IfhKvzcOv3p5uV5ZQ0sUDoAymwkeSqtH3g+zlSZ9L8521uXkP+na
u3a0je+vHoXvjRUKfxw5w9qryFLaLNVCQ5yjxbR+wRn2si30jWd8ZS4LeohixwLIf2btM1R1AJrE
XDSRlstmNdyFlSpfX1osXA5OE0iGAL2rI8Uew9LB50qcg5k87AyW317Udnt4/RODAEsEBvQRimDj
cm1aU1klBWjDWdVJmHAiLaY9EVWvvrFyWaCQJyuD7DFcdi5HkVCiEApX9pmEQ+w0ByeA7NZu3fGf
f2eYlXAz4dDigalrTNCN6KdpMSqTYsn8zfLCvaPF7ezTqFVffQgzFLLJZRRuWusJmVmZpopainNp
j8ZObaRBf9x8tdRjmQWud5yRNpkcax5AU+pW6hqMkqlQ/iLZLSbjk+oVGC9trOnnANwyFAUFHw7X
qvVqU0ZlwE6SNT11zqcuUc4ozH+EdneXkdPkYXqwAStee1e0XyF4I/RFt7Xa7EvN6fIkWVa3ok5w
74ZhLzMnPzZpJP8fh1qdx0pr5NE88hSjHIH76Az9Bwdt6psU7/bdy1/T84OFxc2eS2MGN9ln+hUN
OJ/0LVucB2k9WHb9wwibz2HjNF5d5j9eHuv5LrSMBQ2FliKw6RoyzURqu/WCBkrFrTxIm/W+a+at
qJYr72nB2akyIAESdrPat7uOeGjXHO1zEbZIFCupWH4/jIW+y5re2fiqrg22nFk0SKkD+MXlNqFq
KVFYIVnkYTgSnQtFFNrm/L1P+bxe/fAo0gE4eYLsr+ttbxgytx4i3TlPwOiYFNr9oab9v/FRXXlF
kNGXJwekxUe1Auzryh7rKpqdM+IQ15/sCRS1Ln6+eipcPDmMuE+hPnnSFP1WNnETHmSqgy5oNQYe
bdFmp7TQla2pLC/68lLNrZCm8NLnBBde1+qDLshlztLgjDnH3O3VMrC+50Mfv6+RSzwORWwLUmsn
oR9du4vfwl1Nox0hJGOEW4CZ9zuX6N14rw9GdNNbRtl6RdSOLKt56qFGB8jbExymXX+cgg7MPcBN
V8C0wuXCDubGQ5vU3JuNrGKsMUT5IAOr/JW6Y4TvraV33amxS+X7iD2h4tOAETW+lbaRHOtB9O+L
IpgDHw1QfUdvKOlPneI4P5pGyxwfz6JC7CsCpBKvdopsugkV08n8Js2Mt0OlyMxrMlya91FRQz0r
NDhS8M20LXeoJ6D7hSe8Zv6Z2Yj5gOsE51j04q4a7HIXqU34uXGMdkcMM0hO4eo7y5T6+94I+qMz
F6aXJLPqj31T7FNN6/2gNEwvT3FHEslc+sMk5ockCz7mmCJ4gSqTezE02Cfk8evLdwvzbND1BS7m
SFzt6Gbu4DeKC+HZcrEHqasyPkQFOYRhKr6/vOKvbBMQuRZsmqiqhSt5uU30TmDgu8HdVDVHZ+f0
qrIHyreBi6Nwo3S/8gVTS4Jy2jz7xQntcqiAjGZTlblyVsIsJCYqLY88g3rj47o2IbQkaEiX58el
bjVKreNqk0sFoWo9HZwOXwWtCr+YrbrlzHRtPstxC2AFW+E5eEDGd5oRPnUGgnZ2/SATC97YMG5R
aq7NCLwF0jhPDbnYajHQporKtohCEp6KYjdnTf6njc78NM/2ZgzA8nTW3w09ABA/gBesfldjGZUy
A1TXylnrxzuOj/e1UXycSj31M1x+PMKRVE/k+XsMYo9mr3yMxmkL/nkeFg1mRsYt2yPoAo6fy3P/
bROmaKpqbP15g6lofllBW31BnjnvnBzGdRoI19OCJjgmWW3vBkevH5wO45yYQ+jV96xFNA7WzMm2
4M2rSjvMM6vNAi04T2nVkXyFdsLIwu71xye8QFoN0FA0nAhXC7Yc6Yv2scthkDiWr4F47mO9GjY+
visEVT5wmmnc1Kk8nhWl9TwpaYRnGUxAXbvVU7P9GEfa4MvAnLIdbIT+pu0V7UFOs3s/l2r3GM5F
8u7l3ebKJwNKudjmkQXCvXr1RE2tEtrssq8JZN0fwiyI6BxWxUaP4MoHs5B6uFDCaVhg68sFRLLB
4MZ6Et5mQTDsWrfQPywN17tICzczR6/MCKoCIDzetzaks9Xby9s6m+dAUc6Bygfi60H/WLVJbWy8
vqcafvVhYp+B8RAXMngRa8fYGI/SyTEYR/bzXWEJX4HzvaR9viHF56YZ3VOsOjtK5jfjIN9ORnjT
OBOuM114n4p0V8PdaGF4j1p2yLPsa5tWhzip9knmnmRIVP2kjjtrocdIwzy+/NKvXIegRYKmkJCA
U565eum41OFcpprhLbTIzx2kDA+YEqk0BURm8L+FeL16kQ926R0DEwFOruurDKWNCOc6vDWsqPXM
TJtuOOf6jYv4tY2KAdgmFyMj+mqrA82tpBiDMQ9vVQc/rCCLj1GaIuaBfWeJtyLoB4+X8o+6yf0p
Fu+Gzn79BkVtD5Koca/FhXC1W6cl6jQZTeEtIi/th4QNpXlVDTnq5Rd4bY0v7R9oxGA0bMyX3xMA
bBWVMy8wGh1zFye15hVoFjcO7quj8BlRGWPOB7p1OcrUK4M24z91mw5mCLBR9BBA9EkOu5dnc2Un
BAPgL1wVFy3W2sKzUEqkwaopb1Mts01vJpDkQcc4JvRinHDgi86wWbxQ7+z4XTq40XuuV1m6D9ux
/PXyj/J8o1rysXh5aHchy7qrBQRnMzUcPKZvdQuHMydMjthR2JQSyfuXB7pC8Vr036wV9kTaN2tT
2DhJWyKr6UkmDS5YcyCybzXK6aOEIkupniukyzlGsI+qqfXrjAKQRzG1PH8tekN4V7Clh7v2FriY
Lpx7yGeAJauNc4aMZ81EXN2WvPaHqqzCe8CU8i7B1BtqTDHddFPWPhBOa93nqtafUbm8zsFzwXdZ
Anj/chry/TxjS5LcaSQ2cTSc7VpHkECl3iRanm6FwT9/zdxYuVIyDt8pJfDlynalq7W9FPlthnpr
P8y9ONIDGI+FWm7dxa8M9WTYTHgRXt8ghJdDxTlBWFmocxyFk+IZVin3BQaGEJz0zR75U9/q4kyi
77zU8ovpGfZO64u/LUuac2Isb23yx8rdiDYg2Fcx5dht2zTC3klsAT5mg53SqS/ravTqmtxNb6bc
OTdABJGvVqX9YZaV5n5AdNRGuyw0UM+j19KLN+R2ytHDekZPdsrYl8VRFG2n+0k4Rb+qHmxDK8fw
H6Yo49KLxNi9d6wA0z+zauSnLNH6zFNmPlvPxeZ5focBY4gGImyKm87I5g+B1RrsM6bdf2rhsbY7
QtXZQAU/UuTl+FVpXmzO3S9Xy+c/ufpqyi50qUm9YE6y/iQnl3+vLQtxD+WtCD210Kxqj1l9c0qS
pBw9PZD53pF1FHhFPg+fsjqyviqB1BHzTlrGZT7hwuxFlTR/JpIctUMTldanNm3KjzzA8TYrbSR/
+RjmdwPQi7Evq96IzoCxY/9By4Mg3Bf5oFR+5crK8KIAIwKvjktl9vCRRH+Ax2P50S5i1DkzlnuF
P2QT9jOLiaFBZFfDcws7VS8mDio60zfOPI76TihJ/21K2iHdFWTrpXuu03R5O3c20v3UZkK5NY1E
d+5SKaMzv0ymHVamUsl3xkwEsD+EbXyqFDF8w969yv3ChkDozV2TCN9UksH92OmNMqJHid0P1Uzk
mI/LLWCs0WfN+2ayVWDS0R5uOY4sk4QIbBz9KbGc4UegZUX6ttG1rELcMNslqLGTE4iUadpPHEPS
D70moMjGYdH0lDth8EVriPAB86jiBrdopy4PVZ5kxUHKLvwRJC4XfzM20Q/TeNZiPyia/BOHalV7
RqzbZDamRHMhoJinHDpxMnS3RBTkyVGBuabsBre1Jg8fSHTfdjMiLxc4QbZ+4/amDWm3Nav9RPnQ
guhEg/BnkcY4ayb0bnapnpUoMiZltHw7ykfMh8ja1FmCIKuwXtOCezIe2Lon3drhJeFLM+/naeRP
C8JWd7FBIA/wGCvztG87LvN+OzpzSXqIXhEna2Ucai5ky9IrKMDusxztC1gRtm87OOTR29GEx+e5
nZ3eJzqP42CJkQATdYhks2uriJl1Q5s35KpGxaNdmEHvOa0hfw2hA0A2jiW5vIUSuPe5Yo2SEINO
mJ6I0/pPWIqugSoHy9yjQvnXvXMI9SjQ5rjDG10bdNd36ZAIT5kCYk2tri3GN22tiU9PR9+rvA3v
y5/5h7b++bO9+1b+r+U//V6UUy3DqP3fl78lxOavP3n3rf128Zt93sp2euh+1tP7n02X8p/+M+9m
+Tf/b//hf/x8+lMep/Lnf/3ntx+ZJGStaWv5vb0I88FXDthnscP4916F3rc8TL4p3s9Utl0e/sdN
k37LfzT/5s/5y6lQdf6AWIGfP7vJAl1wFC12h//1n7Rf/qAYQg2BFQO/War0v7wKFe0P1EbYJi+5
QPyC8uFfZoXGH+heac7TzKYChkJuvcascKkkfz9RqFBQ6mrYjkCUwD5xVRDldWtiTYpuK3VtYMoA
Z6YqyeWHcNTLnbSMrypfp7txt1qO32eDcllAxc7knnEMetxNHBwIumOv4yxRiVk7iTDdUuKtT2Yu
I7QfoRypWI5hmrwqbxXVBs3AtOiYaSLfObVU/HQ2OG7GbtqY0ALtX06IOh0JqLNA2IsU9LIIAEUq
VZhh6jFoMeCNAnRhZeY0N/jHf6+GuNqIm3n2/JCoszAAtKkwYTyt2hoJ6tp8RN57DDnid21YVQcn
7zYBjCflz8W07KWfxvrAfQpwSl1+jt9wIXuKCrg6szimGD0fKrw+cNkaaxXXmKDQb9VWJMFyYvPN
mWKcfkS1kn+RIiKuggocWWCkJ1nmOXkQt16a8P15Miy15E2ATjo9d51RG2/0oeywmCm7SRwMRZPF
g2U0w3BHKLpFcAPsKI6StnZKP2ys+BPEAEx158muetwL2wn5XTuXP2VYjNrO5PKgn1J3lrfdpKnv
UiNP32F74cx7q7fCZFf3sroXSZR8gTjvfA1Nq0bNghfI57QKg6/W0GNKV1bNVxaXfAc8Y+Qe4dpi
xDiZ9oBn0kiad2UQRxZJKkX2OAmz0iHWz/afxZCGlFqtrX2qnUFzPXc0hvJmap38g2uP8Y/WKdXl
Rw+62MvjOX+bJUQReG3mZNLn3IamPtNom3vzuwG181QMUf+5FwNm+klnJaGfm0nxdeFJFt7cKBw0
ohOJX6lJQYaHNvOIRqEHj3pLBOS5tbEgzdwS+nNV9HHolymEa9+1ptRT+6Rp9+bY1/dGoFufQw61
YocYr/3TSBuz8UQbUotg59m+jztdu1sIH28cCoxwZzljGPlu3OfKESDNiN8OparN/D9DcR6SSeKn
Yk8ayawzqWGd+n0SapT4kJeyxzntxJcYB+/FTyaUX+2sRyLY4w5fYc4hKrS5pTl+jSaz/zpN+Pt6
uL0F942eIm6KU5W2SGLIvQLmG/ottbbh5XqlSbzHTf2GgtFNdqNSW5+tSNN7rwFFcg9IEdJoj7Uc
C8RO3B+YUcpHwyxjz8I/O/IyK8KEUFcU8QVMZhpODq43t1NSDoMnY3f8FaSR/tFw51m9kXopppMi
uvItvvMUV4L8oI+hChtAUpu96yqnU3Y4Okjhtdh9N6ADUVZ6alTZj7XdjT5E7tDZDamiUwlGc0yD
f0nIpuSiqwSm6kTvzCBJZ08fLHxA08KeJli3wfy2Cpqh39i4nu8kbB+Iu3AqemrBrYCGsdTGhju4
ODYu9wmB8sh302HLx27Zadf7CNF3C6IBI8Raw4N1VwURu6M41m5dfagLp6cQtbktFQPoRi1K9KBl
+oZYDw3bxCre/3ZKv/vnQP/e+JTIErYx2vTwdlAdQXFcdu/ftrHYjSalLExxNDonOA2i0I5ZQpen
xy/87zzPRZa9MIUWXu3lUJFp9q0ZsmOGWtS/yfUMTL1X1Y0JPTtumNDSOAcZonUOxHA5ylSm3GCS
QBzxf/yehs546Gkd7jO3k0R+T/37l5/f1eHo0uMZAWICn+NyuDFpG63MHXEcCCLyUSqV+4qd7Vyg
DMR2zdpy+X12cC/5KEvGDTAfaMz64E5HUYFExEQSoRPxYr0Jdugc29OoJubGSXplKBuTWptVscBT
6yeppuVgBpnpHps6HvZ0giZfQxviu2pXbyyN50PRClhUB2SCYbK45vfg5VRbOaDLaal0D5pb2nsq
LfswxMqwf/mFXRuKdhIPj/FQyK8WfE+UU95penhKzOZL4iSDNzYTDqggVseXR3q2fyxuzEwLkBlh
OIaEl0sjUvKpNOQUnkKzbojjmjsf/dmW18ezBcgorD9aZOwiC6HocpR4lCWJ4hr+Q0VxUABhwBfE
j6Lt3zRFXu5entKVwegMsSuiQ1hIX6tP2DLydipFF52iAEeKeg4Df2yJzkmH1vaUodlS1j8p0i92
R7ozgvUOnL3Irtb6606UKd790jkGk2hucHE178wM6aoIoZjrszqfMLvuvYTNeS+aujq0gVR2vV03
+9IKnaNCtkXWBOZJnxpsvlBo7Itisg6J2407EYgfejy0voi16qOWN9HeyRztrqwRDL384J6RN+FC
U5GCij9lG5lr1NodNTfKxWwfTTOb72Q2huca9OCXOvU2Ag2C3UhSd434cY5AuXZmrEe6ZydlXPiu
K4vBp9sSkeWs6JSOQpvklvjn2TnElgztkc8PKEnQEbtcR1lAqjH4r3OcZPCtneajTm/cCsMv4Zi8
Qbr3ycAVjESIjY/kmbaFe/dCc+JcwF+VbWY17mLC5xZh6B5bK5SHHpziqxbmhtclRuoldf7YNap2
yrBcvNXcRt4GAi+1REukLyrraM7lQOqHpfiT3qqHwMysx403t0C/l0uQH5CCWsB9oAf85IT02wkZ
Fb1pjuHoMmhW5l5BSszsadpI9zunRAohtKSJ7inW4hsHjaYqPSciob0woXLQE1PKrZ70coStfyIu
uPTf6F7iE71sPL/9RLOiV7haTO6xnsziOBpN5SVu2/LmkkcMuct7LnGFH8zWVo/p2efPu7L57Be2
+GIttNpruPEUetzhROYGkXNO5mDc099x9nYWRUfVaLKNE+jZDsp4EBe5x3Gnf64ZzBUptQbQ/liU
tv0G5Km4cVI5bWxqV75NhsFDYul94Ab2zJUypfrXQ8HzlK15wsQq9RpLtHu1MqxjF8axHxOCdKf0
9bGTmCl5mr10Ndu8P8RhYN23MrZu6gBd/ctL79lRxfSxTeC7WGzznrugWXgzAykHx7RTpE/3qLyF
gVXt6ICV+78zFEYpvF/UeWuZu+kmSifTJDhaDS0WMN7MF1mTHK2k0A8vD3XtpULhRsaGsR05YqsC
LW/qILesKDgafTLtpRGrp06Jt5qu15bq76OsAA5SiKomLPLgONgyv89nqziX3IMOrVT0O1i/9sYD
XE6+9TcJYZz0WTAjKCOrwx6ugztS3bpHSL/djZidb0nVj36RQwysyIgqutcKudk4Fw/8hRCtY8K7
XrUE6cDb07LgOIcJzcKuag+Q+2NcON354eVXdmXDwVyL0QSAEdeUVXcMzyuQtrgMjkrQhMc2cCc/
NZTZV6Bje25mfNGlmxCllfYbx+aVL0CDO8X1iP4Rvmmrtzi0Q5nHRhccYel9nPJRPc52XHu9m6en
l6d4ZVUyEkQNtFeoGNetKvoAmFVrY3AcG27SHUqsPSjxljXVsyY9L435LLUTtr7s4cuP8dvWndZC
TCFnwrGah/oWg3+JLZAV7udAFvdxIcV+RAl9CzKY7vto1H9GaTOi5NTVjSd7Zb2S1gCIilYKysg6
g4JiZcjdPApPuSFCT8nNfhfFeucrcTbc4swKqbVr8g2+9pV1ROUDYktRvCjBV+WjkZboZPU2OmGA
ot62weTc1OAmIAC9e3JS0X4t7BYfaSXZsrB0lu9v9X3COALOZ85YSa/ZEXhr6OqsJNFJS3XCjDJn
ziefcrI76XVklt6Iq+x3hNXm4GG56SZ+G3TZQc1LHH8aICJ2XscNT0YCdORhWd4m+2jp6rMWxcRm
mQ9Ib+u4+VqRLzx7ead8N8NJlAdJUNNwqNM+17wS01AM3KX7q8nGzDpATwXpAxgnrsXVIOzldTHk
fm7bLe8kTJ0/C97TN6PQYbBaNT2q3izUfZw4XX/qRRd8C5Qxavdd6pJVZuKtXCz9FO1zH05tuWti
HVZOG6Vqvi9FAcm7RAti+nhhiRNGNIsRTCyCH2GG7OXgFl1xrE0r/5VbU3LmYO/eZHHS3oW1mgJq
QSvB/KJNle8z1wy5m2JjpnRui/BozEZR+82kpeekcyy5w+oyMdkZ0uZrnDRq5YupilXf6Kqs8Rxm
Fu+HJJhuFncQ1UuGQUl8ox0XyqIxNAR+DmH8+any8jV8jqXq5kBhrhwbr0mREPqYlGbJxnF7ZQtY
CN38p3TgF6LO5bdZz+VojsKITu4QFe9VYsgOmHhuVRtXR6GrwM0TDiW9uctRMN4qgm4CwSyxMN9P
IV4i1Ryqf2cu/xpl7emd4c5DnrYWnQIt/mbC9d/Rla53L++ZV3bnhTi3XN0RpqvrdPJssusIPIfP
OemHvUOrj/5BpkGnnreivK9sV6hVuZYAxWFPsHaSwiNiMnFSlietTFLWrvtLaul3WIRLSl6Eyo2r
18YjfD47AGaK7OVvgBtPV9PftuocRlcqhS5PcRTKvZ0o7T4Y3fFgzKPYOHyuDUXliQMMDDHaCsu+
+dtQGH+BD6auPMm4MfwRb+m9G9rWQ2uaWxfR58uPtshTZDAmy7hYrq5b2Ns0RmWF8SmqKXMpZipP
69wtN66rE4LQ4iwxqg480ssJVZjuACSX8SnIadWXsdv5cKc+EXz5F1/1/++GKh0qPKX48v99P/Up
+21pk/7Hhy79RldUXrRS/8+f8FcnVTf/QCmMRwgyL5JCFqzur06qrv7BW+AGAdMPiHehhP5PJ1X/
Y3FHoZNKc45CAFebf3VSxR+Lf99CjYW6Si4Iiur/6TC/++e5SnP6nx3nv37/O8qM4ps3/vv5+0Rv
Mm0SUg1QPpjUlysizjGxSGo7QUavzNVizqTcWno9k0BTWPGdMHvYng3p3dGtKcCGvT50ktynhznO
t0OWdxN7/swx2CouwMSkC4yENCRZ8sawCjHvnSqu/jEEVhwdhkEO46mDy3sm4r7/pOhjZO8sLSep
Ia8sbfIcK0u/kwTbfh7NOf4maZORjgVHHzttw6hNL1Vc9zZJMtnu2jaGqJNnA4WKZuJh6mVVauXn
2DKzir+LLvQYsXxvlYCzftGNrXIq6oU+TZ6rc4hUJcWbkKO/PoylWz8qujYKTstqBh7oY+JPQtJV
f2pWxN0uj4za2dmjhnRXwcPvG+dw7fhljPJG5Vpv+FWamBUuVpJ0I6oWaBr4qYTCwwOj7LHEN2YU
NIFw/EbFWcubING/NcpU/WnRV/hk9Lb2vstkZ+3Koa0I62poZ920QZztR1Pv4qMaatrnAFMnWpRi
Mh3iKqP+0R4yI9nZeqe+T8dK6XwbWL05YRlDD20qScHZ9TBHSlIcqqS5HbMxCfwiLEPoLBCxHiKu
CplfdwGtOZKW4nE3ithqvBZlb+/xfsI3Lu7IZ3KyzZ1Ng6D3xKzzPuoibHax3kMy7sycwlDiipR4
xcSr91rMDKHdw9yrPeyGFZ34YN0CknH7WPPhIuvwsxa7ShJnq2bwTanGtznX6QwOVKYpHu7E5o9u
tCNlT7Jcfo8xYvGYV4OWv6+EOX6LdFV+sPU6pSEDaU4eJ5pY/UGdcRLyZtHRDjQwwP7Z/Dd359Hc
OJau6f8ye3TAm8VsABqRlJRG6TeIdII98Dgwv34eqHqiRYhXDN27monuqK6OispDHPuZ1wxwJui3
zVX0rhLN/I6dXUEpUluYnWE9dmieagnC/j2Y7F1atkp1cJzRnUBOj+FnlRAzMJoKgIyZDy2MUNPl
k5JWvR0g2rSEkE7g1I31qVCl9qNOzTjln1Yls2Qo+jvyaQqFNk3Bxq+LvI391hjCRzNs6emPZctE
x2w3/t7Riw+yMCsgXSM2UX0iEyrGWteADhJt9CvOsubOM5u+wfAszY6qxCuLHm4+Zjf07CbHN6XX
qIDFxsin393clZmImgDvDNfBUUep7E1VhhjwlmGTWztS1HxishU8aLV0QhrXEV3/WSZy+pFW/Ahf
GR37Q1kPw2/FEdm9JHYs70aDshm9WYMepGnPc7bBdbDZt0k7xHcZZft4g/dTxyixBACc5S5h7Kgk
MhjjHNs+aRqd4U/DRKBQRULZokpTAm9wu4ZLoLZlbe0iVe+HIIO482koyt6g/TjF3l1sebkIkEkF
b+uNEDxTW20/zM2I+H5rhrMdRFRL9G02ZOY1jv/63eSWpEJP53VJk8g3l3/+LBCIuk6WldHgB07t
xy9dhTLT0FH1SmrrivLMC/nep7EgFy4M0yXkXSX1ipsiPKN44cEp0pLQRs9Gf3TH7ldVq+FBS+bu
NtLr/r0aj8Y9dSr9Pb5j2c+mjFmMbjIOnhRyL4QKRi6Gg5tHo7obQwtWnclCf/XM/FpHaomNV48I
RceFRsEDAtZuFaHnFUZ/at8qBwvEHHs5q3dDWHS7cSqbnZJX/cGLRXRjYn60yfr547MH+MIj9qJO
yIwR8FO3okpGbWkN+UB8qZ5dJ4+OsVLnbcD6K5tOs6N9WJXNvdEX9RZJ2mQfewA77IhD12bNISmN
8t5r6+JnkWSAJSBOXkPev/xlDnxXSmqUMGlWI+57vm/GoU1HHezBEVCGTmJaxu/yWrMPU9lm93Nc
IBCRAJwK5lybI6SFqVEPON9s5NBNkV/xRPS+MycGsMCiuiab/mJTAyoHqM/kgSZAk2O1ahWRSTPZ
Y3o0nHwMmiweP/eNtGkxK/rh9SV6wbRc6tJwjOGmUROjnrMKM0IFQGgyZsUR7l9hceuP+ccRWY4d
J2CM35dVZoFGtfP8bqS8IbbtODq/swUrs2+7TrOQlxCxdaO1Vf2p7yP9r1bL+QTWFFnJ2g07ERiV
2e5s6YnvuHeSdRtp0g+bnDrGtZrFOlSHWEMUQ80N4UlC6RfV9iYKQSgr2ZHOqBLMyqgdGm6HN6Y5
T6MQAhr4X6gGz/r51jGytCl1F8SRmTfKZ+Bt4daYoAFPbXjNlnpd/lmGIsUBncUVhyyFfj5US5kd
EbI+P1plpR5TbL73IDa7Q8QDHmQdwLAw77wgrd3969vi0kyCQae5pIFEJ+RdDZzTJlddkR/1VOm3
WgtgplpkfF4f5eU+5/OooBvUEKgkrve5Iy1lrAuZH6dpsP8YohQBpmX1txAI+hVO2cUPQmLBBsW/
tBVX513tqa9bOkOFi+jpjBfpxnWzP69/z7qEviwXf/4Cw0TcGA7T+axhoJQ2jTuzXDyv74ex1+cN
lc0R7HMmUVR0iZ2ubMZL37WoHMLMWkisxnqHtJrdThhIHcU4i+9Dn88nJx2u7cNLH/ak175QHHm5
ll/x7JWNq0SryyLJj5VUnV2VkGd408RfWtULTJmpmzdPJHuCtExfSM3k+efjTeDzQLHF4pgksAnm
Of/Solrnd5k8IIz0+PpgFw4Z7kd0GVi3pde8SvCt3u471ZvYGu5GOGO5L838QY8JJypDD7fSrSbf
w+r99VEvLBxijhRKILDQqlpb501e1BVZWlH/w0b5WyXDCc3FBc39+jAXjhixEW0xynP0/Z3Vx9Va
m2aJOoujkVnqQdaZs4sLIyNAvi6bsvxZZ8HGove8cBxpPIA8WJLj57sEHiUk9ymsjrW06PiKMbY7
X7VSOFmk23bjDxqWQWqT0+rtouYn/TJ9CgbHneZADaOmh0yaTL+0KBp+Ivc1PRRZOCC43rXxQ2qP
cbTNVDO7KZU0dIO6GXTelgnU5wZfrva3a80KWER0IZTN3OcuvAMZik9O0mXDBneQ2PJHvG3zDa1w
88A1QCM6HjmRO63T6mITdTL7pOE2hMpChXgOgVpber7rdsNG9dAP91N4VV+0wXVLf4AwY25a+hZq
MMdxMu2saAjLA5QMffHcTtUPWPgAPNDBzN+GrULR0jGapPCVJMt1P0MrMTqWRRfhMKPjda6lBrAK
kkidkB3JD3+I7PQT6X76IYShUe0goDkL16DWG99GdqIMFDhLWgALpCFlhiWbbnDviO41RNDLEzWm
8kr8e2HHojQO/hmHGjpLa5ma0G1N9mxaHK1Ry76BFRk/GGN8rRCmvwhZKfQ8KTsubRaY26tdpHES
3LzviuPkES33AkD3TRaqTbvTYwAFCDc08rvnhI3EDw+hxgBtB5JKUpM2PVJoIKVPpinqNo3aV02A
FwfdCzjL2m9Nq6dkU9rS+FvhS1BvyH6ij3h/VMAB+pCsq2h19dabW/E4R5X4pZROaB3AX7rd906q
cUcpAUknwkGL6v2bD+oCwgf0zVuILurqgRLSKUI8tQt8wjLlW85JkoE9qNoWhQJr3L59sMUyG412
Ik1w5ucnNdUVe9KKpDw2cdnfdGMabRPHqHZ5Rqrw+lAvGnguMAGqZqwmeqw8IqsXymkTL6eGIo66
0ZvvkA/v9jm+BnfOlGmxj7DhfCBMLzehMuRftUK6VKlyfdipMat45TZ8+Y7RQyNffKri8aeuJtlJ
vVRzEy7dmXi6A8Ocq3BtsBnIwkbBJ9rV2jfPNA8ZcfzCvKCYuFakKfOubrKJplU5AEBSIooOugAN
SD/vGh7p5TtGfRqdN/67uIWuG3b64NKVQgzgqNWi2ejTXQG8xpXu7IO3Vn1uMOFPCL//N+aUL0Pu
AcuPpVB5vpfyVk1gW9jiGCVYb8TSxe85NxHtML9KXrQrkcHLSwgWM5kbYFhaQXQ4zkcrVK7FInHF
kaAItiFOfieT+sWbD+PTA8YQ5BO0aVZ3EJqBqdaXaXUUbZry+KvlPpWO6uOveU1/8cIHIYhE4wk1
OILTNWa0lwhU60pfHaUYx/eJQ8s0zJS3gjs4hHTqIHnQDUJbZR1QuVOkKWYiqmNb7TpNMmlFSv9z
BPpnKFc2xIUvAnm4eBzpkGW50c6XaIzbViulrI6RPhS7GhzaLp7y6eHKvbLuTz990oLhZN6IFdeJ
62AQQoSpzcRNpMZkMZnhCy1v8RcuY5xJ9fELDgLl3gOB+2tOy2FHKUm5L/Fy2wC8LLadaWdfXv9R
L6MtppnOHpE4307GfP7prVPjZ0Id89jkDaUdWgW+JRRvA7DG270+1IVZXtiTUMFBknAmVtcqIKAI
P96wPMbpAIfEQgw5reU1KbwLH8ShJsclp6aOsy7g4MaCODfE2+O8gPlFVLsPQp89sO+p/eZkcIFV
0PBgYVHvWofh0kncSDOq+qhYLCJBmxcIyrbBpE3TlUt5WYbzQJXHCDgzztWEGOzU82WiIWT1qSzr
o9nO9k0dd9NPKHfmY9W5gHQtzt/Xyaj7a970F5aM1BOFWtBi6uKPcj7sOCZYsGhDfdSSIcXSdtC3
iqJcK09cGgU29/LEgelHz/J8lDyH7uJ1XoU5tVTfxcqsY7s9UX65MokXHnZQzaD/aIMt99cTgORZ
Uli2wq37Ue+Pnpv0v5EtaD8Zk1falNmzZPBzvULYLCGkKikZy/bjpHhWsSecNvWN5zTZz9cPxMvn
D7kj3iHocQtgZl1MGNyxDZ2p7I9t6+VHt5ThFn7ytBWQqOsg1J3kewWTqvLDPja9Nz8YS0SMDOpS
xqDQulxWz+aioUoOQEXtEfySNRIidu/Dk2kBKlRvBV2gnbmoEUA/4T8uCODzoVrd7odisPujTQtj
Jw193JUOjPHXZ/PlwWcUwGuIO2hA9Nb1UWTcFyIcbuO5Nog7xYEp5beDZXyaTeWqYviFauxCMLBh
39kEaDCiz79JGlbaNlIbjtJui2wzgNVFWUiM9clLrORr7DQTTcR+oo2Fkhb6cw10+C+Z0xof69bO
A4jYneorsTQOUy6i96/PxYufh6AJdTBKO+i2gnZdQwBAGrhurLr1MWq7kJTWcAQMrUm1d9Yk5595
Omo/nFwLpHqjQCE9KeA8IJt1XvIoTRPDpW6YbsJmuiaLS52HiXl+ky2/DIgHa8ULCE5r9eBUlZUi
UDo3sPgxx/YFgPR5y///5UR5tHPzzsqCBIDRZ20WZrIBDi4f58pFxGFoCh1mHhbm1Q30GOP3GOu5
tW3lWH+emf73TQTDFwuIjoYSEhAy2mWd4T2kVHZxAh+QxPcjT+D8Dpyrz++arImPOddq9rHIkyrx
62lSP6PIPgrfqh33INAZNO+1pJoe524yf0MEkTDShJtKP4rCMT00Rm45gWopqbqlfQMjoSmNLN+i
Hl/VsM1LHJyBQimpb4ZDXe0yo1zy0E793BkxNQSlEpRw2GhIRhQjL36gqG4Y+WMRYt5X5F0HqQQ5
jeOojirVnUoBbCWc4vPYlnUVZCgMahg0d3axo0cyWUELdS/3oxrXyqCc9DLf9GlnaVvE3PTEL2UL
1M0aukhu06FvwJrJyUWxHShkuKE9pMb+mPX9By90UsdPel39rsAlfzQM2qd/i8ik6pCTBmWHXJnQ
EsVQN3tEX6s5ydLNGx/7Liqi0WxVBsXeGMmIwWhpnwLL/TSFHnw+uwEaKD1NYgNsGoUdIO9bUVIp
RxVvqLBqhA+lJtVQibDND6op4dK69NHlrVPFxucxBLjll8JVow1vv1EEqbBL+qQTjXOfxqT1rZ7U
WPGdpOclHttCfjNbo/qjI/Fs0b42vYMzVMkf4CuwSHv09H4JfcQDuCwAg/k4C2X3qdXE+CfOnT3S
Ypq6NyIkOQHArwk2Sa4Avdurq8OGT46Ged0fgQNNxyxL8oAGvfa5nhE6nmVYvq8bEmD6w0Z4JQRb
Z5O0AkH3ckOCuDeXl+f81kKEZGwkF/6xT9vwky2zftPls7afVChZbVu+FfS0jOcCtCZAwoTvBfOQ
qszcmNzHR0IL5caY9NQf+irejVr75/Ub79KX0RiywEuTLTC951821RXQduzKj2nnlNvMjiUmjmO5
q7Sy+mqCTLgWS6yDlqdPg7WEtAElM8LN8wEd/NIjaMbDMexi7EANrz05As2RvgzLW9dtxXe2joUA
j+P586R7+6LOh/3MhXlE44O8FkzBraFO5ZUfto4U+V3EFFDjqXkD2Vv3euLE6elzg7LIHURWZhO7
mrHsyvu4EkPQ2Kl8cLIuvaJ2/mJQMGBgKtFUYrUZdxXBDVYByrbMJqAdEURqte/1lAjfLbONmhkC
0/WEDEdR+u5KCLV+9Gk3wpUkhMEZjBjVWUUxTpwkpo0g2bEdkAaCaW/aQahlxqZNTPX761vs0lhL
d4m6JV8Il/p8xWMrD1PQNtNRr91uX8Vjlvt6peTftTyW+9fHWoeGy3eh2E/DjliGeHWVK1XqMBWy
smZypQYQvml3WXcr3QHpgaaEpY8/YlcWfqbktRpwj2RvTfIX3zgg+UDGaC9o5hqVP+eo08rK1Y8m
ZptfraEaNqlllIenz/z/H9lHNPtsQRc9ln/rrNz/FOisfP37BOoTP7uGDf2PAsvhz6J5Airw6d/9
v+oo2r9IvMlIaAITvS4+uv9g+jz3X3TjaPLQT4If9YT2+zemT/0X3XR62cBIFu3/pUz5H0yf8S9q
P9Sg6RticgBd6i2QvvM7jryWNwrs4IIqXCrz68Cd+pHVTXai7ozRrfeECsMOR/HoSqPzhcwGfzpP
Imkt5QGX8sjq9kCbK+swT7Z2dVeGj5lSopkZRaoZBqYJeI6rsncc2gup2QWih+W9DTN1+FJoGGUc
DCVPDmUygNDTxnr6Eapl0m2zRpVHr9USLCTsyPyjePpkBn0+wQgwefrrDVyQXIN877jpFuxMAWhJ
uuZfXdTJN0+Zk9t+nomZ0ac1db9BMCj0uzDKH/vEjH659ElviTPyL2WV0EPnJBcz4hhp1NxYKG9h
RGY7We/XqnBPkOBTUPhqNz2A0K+REAl1+8uchkrr94MHe6iZu4wWkKZmTYAmWX4CZw1rhPazVd2k
uH0pd0bR1u/U1NA/W+5ElKvoSCaRsQlV+9EKS1Zf+wHtelYqE3/jcSysYCo1708ojAphsLzHlD0A
cWP+fbavLwBmzrcI+daipkfpg8LEQvhYJxqpjrZcOGvGTnUw/ImZsgDBq3nz1lHYy9SpwLZSrkJk
eXX1mlk6Qod0dprAZQijF+2IlJ158/oo60sXCjznCpgUmx78+drfjLq3ljud4wBoq8R7JMgUuLjR
dB9nU7xpGhl/DxOeFlPKa4q8F0aGcYWqDYHh4jG3esZKwOGIQtjuztTkjT0Cy4RW/stqw4OZFfdj
aFMDAHV1JWNerx11BwMlBSAAvDGL68b5rGqFq4+F3Vi7IW/0zTyM0w5dvGs0hfWzyShYtVApQ8hA
57ZaPWURFZ8oUaW10xoa4kqUuL86DvFOJFZ8pSB34YN4qZBN4ErkL+vIeoLUTQVptHZqVvWBkY/y
24T2zZX4fR1q8kFU2SEMY0Zl0Kdef1BfINvDnb2jArAgVue5+RRifIvtLKq4P12rohH2+s68MIdL
7wBOE3YlsPRWKzVgFuHSkrF3oTUPADqbdAdwYtrm3ZRt3z4Ujge0nFDXQK1yddSkXTSaMzGUdIze
T2ddBkjK0nhOAWi+PtSliVy23tJGoPnzJNj5rARlRTNwHrKsHfdVHiBGqv+IKojO5F3h+2EunSuz
eGE8hEm4QWAtUHhba0HPRW5VmqI5u8wcoiCq0bSztWzah7JpN0bkXGtvXRqPZxP5ZPzrwdmschJ9
GLU8JEjf1Wni3DJKsZvEXO1tp6fIpynFp9fn88IuodIGska3FzrlGllqpnbK3cZ4iIwXX0uETA+t
VkzfwaakV67KFz3vpWYJCwEQBMVU0HgrlIY2NIns6jzcOYgofcMlgLJKBfohCvK2tHp/mMKyBixt
oKcZUqZBV2ccW8VHUiuJtxmWd+KmLkJEMzrTbSw0/ry0CtyZVkQQa6ga+l41KP2mqXoboSItmk64
QGCRkCX2/IBIcitxKdDKmWdTAJhzMgOw8lgq2W8uF0oRqYiNQ6I25ZUvf3nHsJQI1nH4iYxAg51f
miZY+Ko2FQfF5TnfmJQHNmJo/76+kpcGgTy6CEksvaJ1Z4HqNQle1PIepJ7c5KXNxNndNfDhkrA8
L8XRilkEK9iexFxQhlZrOEVVngppeLt8GtrDkLcKFaVe3Y5WL99PCCMfzNlRt06vRw+OvNpo5qi/
+AFPrCvAE3Q2QDQtz+KzC0AxSo+5c5L9mNT98MNIiG39REUh9wAcftov5jXvtNi1v9GSr38VqJf2
nxw37jdRo9MphjbxrrYVTfa+Fue9d6OG8aQibjSqbSC7iT4CB6L5y5WafxVTOH4c5xxNVaNQHlEs
i0t/ErGN9Kq3mIknWR19rppi/uPMk7boRg410pJGX9/mUxdqN23aae0Bkf5FuRz0S7oBDaWY2xn3
rNGPSHZRoXOrLYsQf+lqIOW+gC5w49Yef1xqieQnXmHJhNqmoOlQ6rZAE7WjdXyftrX8ldmNfg9+
OOmCwUZxKEhd2eTbLFO0LwWunllgqRWFsKyMi2DOonbeJGVtv9etuvU2OjG6hMHQQStWeoyRd07d
zR14yBD4DuKZ1ecJiYsfbj8iu4lDuv3FcDpv8kWnp7cDTFQjEE1iBQr6Fl900sucuLcvrQBVgvyb
0oTDtHFyxc59uiKT2GXzYKj+IhR3O1rU33xJ9c+BcEsJlJ+uK4hGVNK78xrPGgPbBJi7oNLGd+Y8
IPVl9Y3xrStMvXjXhapofCu2QkTNFVW/60ynUwJFFH9R0K1+hBQvPmW8S8AeRIik55jafbEpTa37
PCWF3QezEyV/hlaDQ00raZipnXo4Gij90NzbZhwbG0FM3Wxo9iws096m+E77R9i+SMIWk1SXvdLG
OM/6Mi3rCb6qZX3liwttI3C1vDftpqEDZmtlQp4xI/Wmx31PnNZ13jcq/k13GqIWPX4VO5C9nXVd
sU2ohcw+pr9JHaD+DedVUqY4uRM6QUFf0SX0aQqYf9SpggMydU6C96id7GqrqqZDCCVFgfNfqKqf
a728b5HF8AL08+0/VcSPya2GLZd6tfg8j8QgTlEDscIuOPG9TreQMakUeUD0rgmUkaB1+WcFZVfX
GR5ivOPbDXHO9C4PCc98IdCr25ReN1Jb0BLdjxIHl4ZKE/ZMST0chO8VTp4FHiyQEHeeKU6DTjVp
GuMs2qC4i9/Zx7lPPcgU3eD1uzjOzI9j1TfxXpNpjWecY4Qg2pgwKrUy0widvAIh3XboUdj0zLiH
VAzvGLW4DGn7wNQq8Zh1kaHcd3CP7SM7NxPvaxVTqzuh0GoNNObLDOq6k9GeRGwWN17Y9Ma+9Fr4
U6HABnWhO48iyKqRwhTuRJpASAFIWnszppPLyzFKYAgfMPkIm3edF+ofvTKDNlnMZvfVlab2OyxC
xBecJNV+hpUy2r6bj8NtG/XiG8lR/L6SvSnQcivjIUgdJMlAzKn2N+Dr8ovaRDrxu8sk1uXCPxEW
ImIbZEbVwtcj2SVb8P7sumQc5WNaz9bfSRjOsE05RkcTxYfsBsVmtPJ0BHOarURwcHzvsVfkbkIT
usR2SSTmlhNmdPd6ittnkOMbXe/bYcx+N8y8s0c3LHKhbVSq+j3pk+6aXtnL14qMCaYzGQSPCO23
82scTGgl6aNEexQQaUpEhrazq+zX60/ihYiD2GXJy8CFEp2uixHVnKPK7I3RPjP0BoUoOd6OEyRo
3w09AdWS7wuavCgeSif5pYWNaqLrIozfxqgn3W092tlfQJ6R2GBIViC1SWXaAmWnR3CIDHe67z2K
HZsUM20Ehpsp+kVXlrzPKTr5PRTarPhho4cwdtKs+qw5afK7NNvpI+I92TfPSeYrVZGXk0rtjQCc
sia9AjjD55OqJHGY9mYU79txsPdGKpCpaUT17vVZvTgKkwoGnKCQYuP5KHVolgYu0fE+7pZLCtev
QNXiazXpi6NgJkJqi2IvBYPzUTq63PS5y3hvoPIIfzwtgsHM2ivh/aVRkEgBokI8Q0t7FU2IIece
tdR4L4ZQ5y+1G3Aoiiul7hejoDyLl+Oi3s+6kJCdf4scvTAySy41oXnJtq1ouiGgcM2O69Iotg7Q
eqnCAi5ZrT7GCHGVpkqMkLWNpXfvKT/qbip/Xln9JVU9iwD5AJv6OaUHMks2wfnHzHhRw5EJIYRK
YT8mZV51h6qzYh0iLsLwPvlt9B44siz9rrfcb+gktbZvVaPyJR/GbtgqsVneqJPjfkkr0/07ebHy
SDw7CZ/2XVjsRG7N4qQ2fa34/ew4BSbhyZBsMrsU2xwhho9GCaCWi1zx4FYCbIENKnsLRLM2Q1ZL
87GDSYxwxkOVmrYIpHDkXTprDdo7MVhTIy6G1J+t2Yr3MkYoPKB7GAGuRX5X81UgRx+iLkLVYq4o
BL41V2b6YNQslDEo8Ei9nE/f5HYOnF8tYfpqzceuqTxlCNselRKxsNeX6kVux1BoB8DeIcqxjfUR
UrNUq4DVJnvUfxO/Eh3WtTrE3dRLrtmirJs5+GtTXGaTs/0w5FqjpovUsYeh9ZK9rMVNFyMdY0nr
F1nAx6mw3/eGdeVmv/Bp6Gou7ofUuVECW90OSh1rlWu26d5K7XrpZs93bR66Po5jb4Wg8WlQ3uHJ
s+XJEdf+EakXxQ0mROm+yvR876nNsLEyo/jw+lpdOLxLBYU+JEw40qvl1D1LaxrTpDysd+leAbcf
GIUoYDvjYf/fGIXaHSrfS4dVX5KrZ6MYY4eBTTqm+4SkYjsMOGulNj2w10dZLs3VDQEaGIzL0rgA
gba6VK3RqmsU2tK9dLjparMwT00utJZ4TWlxa7Fa+XfSrPxgFqL5/vrYl+aRcZf2w3LE1nqKWKFH
mdMwNpU89JHB2GwU8p03kgSWPUE1j+IaVUoGW92BsJLLWlVwES+z2NrANU6g77Rv7ac9jWKRb6Pe
Ca51XZrMcyOapVBTTOQsNXBm1H/VWb1GRbgwY4s6GXrvCyyJV/18T2RN30ky4WyPJSEaN9iH39ht
/vn1ZXmRtS9QQED/sOzYDy/E3ofENMAQ1fm+q/sQAzDaC51hCYwbQpnsnKrR/jwN+KYu4V3yuynb
8rE7d0940qf4j7XC/2u2C5Akl87qfy0R8v5n1fOo/6eD+O9/49/tQ5NeICcDlThqOJTiWKp/2oeo
b/0L9RH4vrwZi7IHl+p/2ofcGcu/tnDCl+I//6wt+y7+3/9LMf5FmMZpAw5M5EHl3vsf9A9BFPME
ca6gngLL4EU5346xU08FsU17MuqkPiGNXgaFFuZfn83I+38uo+fCI+fvB+A2e7EeAPXOW8yGXF9R
YYghDZIgjJIhYQ9QC38R0Qy3Yz9fdatcv43MCrt+wXwsnXmQDudfVE01UrjFNJw0ZcZOJay4mzde
Zpa0Fdt0/jTUevuhsKLyu6nFiof7Cy4nFGW02CB9SDK0OmB77YsKbzOMh8rKb4Vs3W2o9PIWl+nm
jaKPFPGp0S7SwdBYYLWsg2LQwoMNJKbHMU6MWyOsikM6e/HJGq7qN60un2UoMAs84YjK28v/nM8N
CDo4Z00ynsq4UnzY4gj00+Pevb7al0aBaP4UFfOEr1Hk+ROVZKzHk2rkahBbarOjyHlNpOEpwH72
7vExy4NnUoEl3SQm4Yw8f131sMwAviXzyWjRJLwNJ8eYb8jxLcqObVLEyHKjT+vLJm7NAGkUQ2wX
fbifAH9yw88Ns3uodJQM/Hhw0wcJwNn0qStFPw1X9r0fDZn6Z6KHP+wUpQMGp6E2kN5Ko3OizTj2
vfDxhrG/Z5bsjK2B9MptIWcNZBMuk80WiYLB2VKgpM7ZWCJ6Y79p+Xq+HxzBYhOKaPdqm4MbdDUy
m+lUjFQuhixGqKNLeu9UCMx1Xl/QJwrTaqrBuYB1ALNEyXaN4fEM3IXULjVOSVK4SHUr2L1uQh1u
zo0bO7F3YxbKdFLGSflYaQ1qd7XaWZ7P5I0fVA9ihC/MNk9vUkmPmFIZXkC7OnHVOsATAydEYMFy
T2fQ+tMS73afB1HZybtIzWS2mfUcB/EKtAsI72mSjp9pSv9FQXCs2cwgOW6Huq/GTWOUdRgMORVa
PyLQp5AjGuNAk0nkwdiYsG7NynB/4EKh1BvT6jttZ8SZa/t6OqXllSlb3ULL8pAcohlAtMz1vmYD
2L2VUHnOzJPh4aLq93nabWZFpfeih9YHaSTid4mU4JVRz+9ZUMRPtoFLWkBIu/Tiz4/EgI6Mo1S6
caJfoWEFQu1iP2czymxcfdccVV8e8+WMY71C0uNQmljtQCxQWi9LZ/MUmooBSDSeNzB4mivJ/CqU
4ZN0Mnm6ZWx1NKvWqEFLWHrtJI55mtKiOJgyjh6M3HTvrESbb2pdDFdizUvj0egHKwcY0jPWZscJ
YjOoQJQWWz3EcL3tyyPeYenB6CM4wUXTPrx+tlbR+9P30VoBBwSAn/VbNtKzHCHsvLaMrMpChsuJ
vzfhPOwqbNUPZRhi0BXP2r2ZjPOu7eEhvz7ymmvxz9A87qgx4P1ERHo+dIvghFDQSzjhwY6vma3F
iMqOf9uilIcBovxtoyEiWVWZvc9CjwOPMrovJ+b99R/yctcuEiHgmDyQI1QPV7sWyjrGA11knzAV
sXeoD45BSE67wREjulKAWjKF84uMoaAcLZRRci5rlffJ1lNLZKqsU+Nqpi+wcd8koizoD5YqEqT9
qe8ZGPUSNN5jyNSvf+iFtabyRUCOsBCyy+tgS0DUyy3q/qe+RL+oTnS55wgxsRbmQ+g2InzPLw90
YKnb10d+qkWuPvxs6NU266umtUnj7VNT18O206YYLUXVemfqlbOb65QpZ9mPcij6oK37aI8J3BVQ
xsv7gjBQ5TQbC5H0hbmn2fZxBkvAPiUAwne1pvVB3NbGlRVeK9mzqxELsCkgoDACXGhdGwmNmHpV
UaknlHdGZycbfCiDtMO3ya/zRPySSayCJMtFTMW+TbR3Jo29cUOd354DFxmszs+S0DlORb3UVcQ8
8XxUstkKBECucaZf7gh6BwsSkJuGkvkaz4QiCnT93FBPaDedcEVox6PROncqekqBcCyajrN7ZYJe
LgNBJkdgWQJ4lOuXCTzy1ArezVMtcHFU1FhD+Beewesb7uVB4/Yk2GSZCfo51ud3y5zldV3roXGa
emsIsM6Sh9bS9Q1GqtGuJMMBAzxXP8eSZqweS/Pw+vAXPnJ5erG4AfPGQVud8xrpHK1JhHkqtdLy
24oGqAMS+cqpujgKcDSuJDoADHX+kYVmCSTpBvNEDK0emfXsU0o95EoD4IngeX52iW4pgCxPIKng
WgGmMqtQk0XlnErEoBdpj3TamE5rf5Y5Kr9+09WIcaPF5UT7eRzgo4ha652tGSq2QX+1MNVtTQpy
oytVa931WgFxuy9F9ruQUgwoCCOa7ptxEf110fUO3/N3zsnIpZZuZCWt/tTaANFuampZrZ9Ttbdw
Bp17dVfD9f3lSsrsO0As3SMwVeOdY/cjEMui67+hfes+DnLKPWAfZfEJFTts7kx1LP8WE5ytG1Mp
c3M/iMm1/BC8Sbspah2vGTjnzqd4sOspkFaRfNPBbn1rEY4/znwlXpjqmCe+CA0NCUYkMZp9GAk5
U7mOJtq5U+t8yJxS131TrdqDPg5FjjPZiLxxDZkXz6wJQRrgTHX6WzViqR/6CstO5pCu6Ea3y+qx
ohmuPSilfVU85cKm4f1Zykz/ZC/LlfDswbdic5IjQNnTWLvFfY1ymy9rJ/v++gF4GX/yXiMQgBMv
mRHsh/NR6MKZMHrYmgUsqAeRzd0D7pzUfmRtbEeYV7tGEXLz+qAXbjN6YexQSLDgaddoKlOPnBZH
VOdUaV11A3ZC2ZWzYdwQRZmBGdOMaTw3DeKuzsa332oU3blndGgG1EaWWX82q/r/Ye7MttrG1rV9
K+sCthjqm5N9IMvGYANJIEWSEw0SEvV9r6v/n2mgFraTUNnsfy9cq9aohMSSpmbzNW+T4mOdBrO1
aUCKeGEYG/CCCPx//4A/eXdchdNb+AmhWHIQqchtlChxrVmbkUm9nCRTPzdx43hhW9mpvh8seEiB
AkJE7clEGmX/YSKllkolDO1NbFHjDySphxGmFKc0yJtVZcbJ5zmRtXfjgCqmw6u942QPPSBy/V1E
ov3u9w/9k6m0I08jZoVQC0Zs+3eTVilqlI1kbaKiSc9jPb5okmo52JCiws4fLx1Ji1+oIBxHhIDN
8d7kHAd2fyRTGwRBaVg48mxw8PMv2s7Rl9GgN2vW8EvY1+On421SKOVtYjkCYH//6VBgDSoiX2mj
BUouEIcazebOKlVP8rPWDWY5+FEF1fSHGh6EKbxd2PxEgyxQmh3711Vsn+4AGj4bqR7Hz5nUmIlr
VbX60ccg8oUJdXwYi5nE+UTVh1D/MMegZYVu0GxzLT/OIUOmPQU4DE5Rq0FwIKQVp9cRcCzdmbSF
D2ezPy2qQg1fiAmOV48BXIV6Jo9O3HEY7DgFRXsGOdiWDoz40iKlGMfq0+9n6/HU4SJQ2SwmKm5B
h+DYMMpaDECGYGs1JdAhUEo3c4vmft6F5gu+OD+9FGGGqNCyox+KlCgKb66wm2BbFJm6rpUJA9I2
M85hciovrMGfXgrwOVGiCT72MG/BWLsiK2yDrdLl7+tIL9edr3+crbT6M0zDblpi80H1lDFETf7g
3CidFp112I/btpGli5am850S6i9Jvx0vOg5AG9kQKMYABg9bpZ2POCQhdba1MttYZ3WXf6rbpvpa
OkZzOTZB+w6YTfDC6zqeflwJPDjalFyROuj+istQJ81B7uXb2AZchlgO/wlp2fr6+wn4k8vAoqTc
TZLDQx6iD8ZCmTjO23KL+1R0lqV6dNlxTp/++VXQHOSQgH1GqnNwRIRJ2sZ+VVdbH1mrBbAhwXpW
rBdW7NG0UymCkCkQe0IewQFqf8hK32zbqZOqbd/btad1Xeu21vi5mdU/VCcV/HfQSSwipFMh6x+e
3xm2Y4Gdqc22xpMd2Kj8Ra/qjWUGLyGhfvJIlFtwIEGeVGTTB/uuVBWypFtSs1WT3l+kJjFCoKSJ
B2PvpWID7TzGZ+8gF6LtkAFEj4Xt99BQMZuJkglYna0fKJPvyXXZbVTwAATQiKshGaOWEIXsPmKv
jWG/f9H6idJn4CYGOnee6gBRzHRMXM/jKA6vfSkdvyLE5CdeOTnJFrEMK1gUY4QARZ3VdeqWSR5c
UHHEmyPS8TXxqhZq0gLvo/E0xPH+VkyorT33UYnEXMuKM+c0BkyVTYaLBLwWuTOuJcYS6FxP07DJ
pc9ZUwX9KZS2OnJRM9CRae4VFK8LPS9dvI6nbuFMVvG1HocwdLFeRmgu0cPgPon6mcM0MycHKETR
6som94PJPp/zmvA9j6VgQ8Q4qGdybkj5FZSNtDttAW3Pl5OGuJqrziCLL3EvyKx1r0LtWWhzLzvn
BUvsm60PcbTWG2WoLpKZXOjUCCWrW9bQ3s1LNeEXH+VJDSFhDrlPRT9O8ffxeoRS1GVbcDJT0rfU
c1NGIW8dAxLL3DGYurVmUqfwVDuZR7Tt5eSL2jvWurDRm19U+awFl8WU6s5lFYRjsFFibPNW1uBj
wJLLdr6FR2ucGvJYZVQZgOMsDQwEf6hkL1+MKKAvrzayvK1jjBJds6v0O6fvEIhslRn+V9BHcrlA
jT77kMEFv9HSoLvxGz2p1z4lMtkDemjVNKN0Ezdks/TXlWbnnON5bZzPsEIAaFrjiFpEm93Fdp4n
guem3MoFBi79XJvBKlQGdVy0WPxEC/a/7CtJJE8qwyEpFkZNjCVsoZN22cpDI7vQHNETxHUH5Ifc
ZvNZqZF9rUenVtq10Ubq6AVgVTtPAmOguU6Fh5k7UO9uwdzEefJe9nPVd+tBmxEEB3d6Zle0pzwl
7KaLuZ8mNOMxPt+yOaCTnxtaqa2qkha1q06K5kKkDCf0+PsKmXQkFK8L0/fDhRYVEYL/uh1dV74d
4j9clKR+Q9KmqWv5gXmhmsPKp7UDODqnL+FIvcHoqXb6iV0B4LQ0Iz3okt7qVxqxRLWIcQk7yysN
PHGqo3m/KJwojy+k1m4Nl7jYGr1JjSTDQyY4BCCQF8kMVHciVEzkNPXdarCszynMBrLxdMpuu7Lv
voEZCj/MQLlF36ONgS3HEbqfcYVenRtIY3wbyf6o47ZkR3eV1c9EZlNvf89Cf6zdXMLD4wK4dn+p
Y/31JZeHYFqEs999qRQraVapn1t3hRz47SKatRFIvO/oXyiJ4HpWVnGauB3ygsUSflDzKfGN6lvF
pHyXgmu9jNKq6dHsGMqPulVm39OJIWGVmNZ7qVawgYyJ8dn6K/kLgrCG5mqdZiQu53p8Jgmi4xIZ
ziY5x6QhzteN5JufyLTVztXzAuys3I1jvMim0pCWspOaiRdGfvIpG8pJXcq1HigeBYHxA1G51fOe
dWT0LdVANzHAyhWk/qQH90og1DXjDBwcSNDClxd+MDvvC3xhqkVTm0niTnPuf4pYFd8nS02+GFOU
3k1IVzF6iC590iYFcSSlkUS91xgvIAgoH/NWC3rP1EoA3paeBqE7x430V2+q9Z2mRc0XFKraLwHq
C45btbaYudbQhQQN+riJyX9A9YYOFgd9MvZXWasoX/S6bW+ARk/ftbg2P5XKgAC+XJUhZZZ46l3b
ahLTderZQT8pGG9G1YmvCZXtz32ISIlbAGz+Ls9DXy9i/sZ2RkI7Q3ys0++HTrYib7bsscDMoR4h
tTdFez+GQ/ElbQv9vvQt7SYzZvWzhfwgU7kBPubSnanfZXJtIXeqFeo7zB2He2fGE9ntUCuBAZCr
9k1oR3q66HyHbU03MCOYS6PM3MDS62TR2WMCStuuk3dAwO1kWUeYLi4APEnxwuknc/CkritAAcp9
WyxGuTLwDJl93cTpwAK0biJb86nJMv0HugaR7zb0cj92jQ7xIipBC7jQHhd9XkUxWztwendwbPxj
tTBIKFNjyt0ud4HTHyFVfotBwU3l32iVX2JaxPX+/mN4sDxeX9DM936xzGkCT++77/X04XuDbfKT
XYv4k//0h4/gkpuphLh+d59FuRc1bIrf2ue4E9p/HN4UvukjGRT7+fdZTHlEgAdv3Yb/OkKv/PRb
nrAsyglIFWHFjoYEKsOEO09YFuvEgASDVBU13z0qvKSfoPWB/ANBHbLLUOhJBp6wLM4JklqCVyiE
7YSk8B9x4Xfsub1wSyDtANoIQ0vBrzuI7UZD7+mp1vMWdwlzXBal3g0uAWUvLdA7R9mkmBJUvHBJ
/JZmEJNiKRoKl1Y6uXePeULsKUQs96lJqlj54MzW8L2rF8q5u6Dv6C5NQX8V5Wnz0BQMJd6k9qd5
2iqJOW/yYZqvR2fwQRxMY7BE8FeCMV/H58AUcHPT02mjG0a5kDFM3tDFbj6lqfLSPR11PcXIceoK
i3E464fpRDMk0uRH4bxVqTSv8EnBDMbCGK3GT/k8KNtrw8i1T3nkSItmkCuvB1DUQQeKAEfUd1Vt
NSstpZIZwAH4mPRENs+m5k8ARIeaVAJCJPSmMc0SUhsooe9nIuDG/bLPucEx1uutncbNaY8AwQrm
6nAVjFF9VQQpR/8Uo9/oNpYces6IppihxcAvQyTS0WhUNvIg68t0dghf7aT3slKf3U5RwpVGxAL5
vtFWklalD3sOW0DwvfjJ3R+lu+Lm4cULv3j65IeyJNRfulqEk9tGVsBiat2IbjOmJ03lWEjgO+FF
mibO/+SdGuKVgiyyZDxR94esdQZNYv+ct/6g6X8VnS4JQpUxL5Wq6mpvQhvnWi3y7nT2JWXVJhP5
CCHcZu4l5Swi6KvcDtrc7Qxa0jXq2XIbimMvtPePsmX67FBv2Uyoa1BbFUP3rG47Or1p4mUib3EG
T5dN6mgLFR/Fs99Pn6M8DCgYc0ejLs0/9Nv2rzI1gYD/+PI2DodvdTgN27ZCDu40QYpwWE7A4P0F
zJGuYbcY88/yXGrxC6XjHU9jb9kLAKvo4VC/AS57WNQtuhQWDmyzreUrudehPHRaS1W0HHT0ozut
AV0AJ+2srpFMDiBguAHSeBtbyov3U2P0p1prYz/h6P3692OzQ1Qf3Ri7pbGDFJJ+7w9OCPckDix2
TYX20kckM8tTDN9jjNCDqD83ZjtZtS0GQ6lvvTOn9Es4S2hW+x0sgwZYE6AA40yhNuU1Rlt5Hdnh
WQYi5B2lKgMn90JZDGQyXmCFo2fJsAzQgHPcEgvBDRIaxUWI9C7RkYlGCMnPSk/D4f2cQMr0R4lI
oA7gNEYGHNDfP/euEXzw3KBX0JsTepP0SQ4aMTVZjKPAFN3OI8ruCwXMwcfM9EdvIBuAa+RL10iH
DNT0arn3Yr2xN7Il4Y+mwicAf2T7N63V4EIVGfa1LA9ua2DM7XZhSgm5bqfhJiyLsV3lRGgkyk2b
3iu1om8s6JNQ6tQIi5cQ2sj975/r+BSkaoddiXCkEBP+kDEy6inCJao2b+UyD3Vot7GKiK1kyiQO
dmR+rLUcbwVjNJVLs7Fof8vqN0k28ys75XbI8YziVm/Oa2laGJADX6jP7orNR8MO7pXjmYrIUcF9
gg5CoWqStyRzZeP5hclJkpA0fZBCLHLOlVEbL5XQQdojRlUuXZYk25vY9hVE2DQNyguuvOkpfrHT
emxSCR9KXMUusSMDnQJ/Ub99YTxF1HB4w6JiiPoBomxoSh6sj1iGf9O38rZzho68XdMWRaVqax+D
Fm8M5OAMSrtGxEwtY9lFMeoPaOFoUxG/xDA5PgV5tUL5WwhpoU/sHDSca4zmULfHjqyY8+42gEV7
NsC5gS5Lpr5yJKM5w/NpPFVK3VwlWDLgX2uo6aIdbOi9HE2uloyNF+iluhiTEfZv2PobXU7Gm9kP
AHFRE1hZflwtNFnKXtjqxXo6GkdiQZCE3OQRV8DGT3iOip6bx1pEMJG/BeN4K9XS98ooPDONV6ac
v9BIOm6lMWLU4KjQg1Jj+z0YMdNPx8AaZmU7KQBrF20ndR/R2feFNuEQ3/otFRrXHzuIpbEuZUB/
Yrwa5gztcRwRoLS7fZqn17+fUkeHHlgPMNzYV6G7gtimqFE+O/SColNL4PnKttHaauM7cvc+Nibn
BSSbKqgEBwPOfAV6zQHLABxSaZSuoa4EL3Q7DTjhmG0OEDesm7FbwPyubvIkMGDd6pItk74JaQG9
bvgdG14jXcYAcadZa7ovVConGvgU3uqlrI5RCwbMFA2cKJLsNTlkif6TozbOD8kM4hf6ETtI8t5D
0CxHngPgH+BTUoWDo9uasROERpNchJVsbMxxEtuYqtXGaYDCpO+aXV/R14/52/m6tYcc/lo0pJeK
70/apZbUKIHKBT9dBO3UOkLI11Ih+0h270Y1hG0XZmwTLJouaTDZyH0w0Slc99CVZCv/HEVlWS5S
cMYNM2YMx4U8U79aAPQdbA96z9BAp6fOS52F+N0rh7TN3CTQ58hrjSrJvEiLgRCrxiBJ1ypW7dWi
V8Z2XsMP13q3hCSJYR9+ZlSDRgoUZ2kfBf1VrEZV8a3tem55JBuzhRzpLF+0OGOBW40NLDHr3hqD
NVKlfoYxiu6DaJMHe2qAvzZoQZsT9LyvJu3Z4DIujD7YsPsb67xNspfU2Y83dZBdlNMJcQX3jfbH
/oyOSnNENiCILtTW0P7S0iabvF4L5Xs9MbXPjVrVt7OppF/VXoWGp/ZV94WaAhu2rEuxhgTQFNhu
rQVx5tlpYKBMWPhmfhqZOb9vzTMd8N8vwWNAHPsnbXyqpbjMiyWyf8fwFfy4jtLworbC4YrQpf1S
+hX7wpjIIxTFIUTWdNIHzvUE6a/W9YvJuZMsJyxfCMCOglOxkwO7EqkrmfAh/FGecJgPcjW8oCM7
IplgSNVdhVaifVoNshJ4DgJQ3zpKdxd2Q+iOS6fSvtToOdqRACvT6uFfkKjIUx6E4elQsG+bZnhR
pc5AwWeO+hvVKl7q8hxDTknzARNYwJjQmwYevT/qViFN6WjI+UWONo69cGzMrU7Njuruou01OXyv
0M7aRvJAxDTZYf4DyGKHa2Q5XgFhTV6KAcW03N9chIiYIFYLpy6gFvu3k9ZmqRYRMWg5RvZZLTkS
Pk2yfYoVy0uWJccjLCIywdHD442hPFghTj9ktiiVXUyVOQHFcubTEH047/fT+vgqoM3p13EZwDAQ
jvYfSApTtai6prjAEMmAejFaXqHV5Qsn+VG1QBj78QzIC7GGoIvvX6WlwOckyI9cdLpTnEr22J1i
BKLfWH3vLFWFUPOF1fqzC8KfBL4AZwVI4cEp3s+OVjmjVV7QPyk4ckb7Op2i3uCAskuFeEt5ER39
k0viOSXooVSSoFcc8PQMNR9SYwqrC4n3ucxpr61ze3LWfaBRSFKovyovvLvjyQgQhKuhfIWe/1Hc
HieFPgHQqy4CtFNOyywGD+zEVvPJsKTxx+/nyU+vRT0F5QIuBdJm/w1S1pXRY5arCyXSqnaha3R3
PICh6Z3Oub/8/cV+NpR03oUUkyngYQeTMlampgdzUF0YZSQvNER9ttQDqku1gzjeJ4javTBdfvp0
Ols7X8N6O9zN5Ka37WiiLVgMSulS0ZLpGGbzOZrrLyGVjjdvXhqIE8RmYeLwiPsDaaUEbzME3IvB
d+C+z9KoeirH+JrCd4A0ip38aEBUbK2qwRMlbK3hpXzqZ6MrVjxBAHMHtbv9O4BiSmkBBaSLMgvR
1kGEUk69UJDg6NfMs+riipCXq3qetW6BQ0s9LGFAmfEykFBcWZYBaAZApXqneGMKdTdXkkH/DHms
izHdHqr4hdlAp5072tt1hcMAfX4BSoL2KMrUz8NfiFvpQMXfvJiLCrz1WSYU8qm9OE1uXfV2/N0M
W4yeO0QuOHRPTSFogJh/emsn0lkSlZ4kD3fEgHhy+SgI9Xp7SclldM3Mpv1mytvep5OKZn+4QAD0
qgUNgGCdL3sDDslZOsRfeUasV9Xm0sBV5i99rszv6AjRh3AEIc76ZhqXYZAqZ0rY/ECapF83UT16
2Oo0Hmltt04VIScD/8lVS/yMtU7Ic8RSv87QLrpIY8nLwZN+DpVpW7Wadel0pkL1TJKQReo/1zNa
L37u2F6aDASXaOZ4AZL520BYAGs00706DusliXD/bk77bV+2gLQkP50ubI5JtyFTdrVxUmnWj0bD
ktKK7TyFt2OZoHVWIU5p1PSK1c7MllrcdMsgCKOF3qElblbfFUwxXfC5W7UT3f340sfyZaFX5l+F
jOk1WkzzIkPKzR0K7SKAYXzjFFG11TMczFDTuHKm5h7ps5oH1Tcm6Lz3VaS3d7FmZx/6vrxLaBC7
VhdUy4BW8ykqEOkKzBlayKMvn5qp76VG0i9nTaYtHNv1YpCDnE7qzi0++Wij0gQrE9yh/rmUJpr7
FZINLipUUkTsTA96kfScPl7ZSw1Y4Na2uHbTv7Ma1JM2vTQypKFOE5pA4z6dJDIGmN2p5aYhzUGX
uDMokOjKO1R+ME7PtlGe6dpyyiIM8Bhg+31LieciHiCgrZqyR4kQfZ7cWdmJNt82vlpW98B/emXV
IXJbbspEM2oXRYGp+ZEEleXiSaArt6bUaPJ1AzzgFthR/8VA6nZwzagbHbfJtfYMlLMyYrYamh8a
ScV0jmyN19Rp5hQt0JSmK5qqdbCR/bSnSe/rylUQ57OxLkYN6AV0Oce+QJA2UNysiJ1VpQolCFrK
1X2C9+QP0t5aIafPWQhVETWgq5tC1heZPneWp0o1TkpdrsyFlwcAbTBsNgrbw1k9Oxt8C0HJvG6t
G2s04NwFdOQ+I5oGLECJgX+sLH0sziu7H6+ksrysRxVk9xhGCH1xfFnBEmGzHreBNgv1M1S3oqsY
XcF5A0URb9nBwTTaBdUhNQs1sqpTTZn9r0krFcACpGodRWZ21umJfZWkuiwtMTZszzPkzz6gIFVG
XiOZQ+rqWZjfjhgF55CUpLx1UwySKGLMeoWJo5YP2aIwimIz9a113ZO3KStVaUr8HuSGzmNjwBLF
7QAzR1RUtOSKenk6uJmGgpWkTiYrAZVh/aLorWA9pLjCe3T1Z7ThkiEw3EgJUhZv4Wfv+qalvmIp
MWCDOFP0ZBGI4NeVpFS9zuGHionWZl904DkYvO+QJlHfaNGqnCcTnmSJHbPXJJxopwnxm+9hrTBC
BMJxsF8UGQZsm3ZuZpiXqFnhVmhUY70asYoOPTV3qtYdYsfZosCoWivbwDaGm8GR0hstbMsXsU4u
7Cp+O3wvmkkOlnYhK+fKDEZn5Y99MKP305r1KqmySKMk2dTRuaqO4w+NUrbq4UGZli6WW7R8EwT4
yPyF6B15Catqkag+4V7cRmHnZpCBNayOZDW5RcNM/tDEwB/WHU/xfqSuDPUHqQ3F7enkf/Wrue+8
wYz8+A61vC55l5VV9a4IkupLxh7Wf4pLH5nKrM3b7wgegQuAlAZHZ0SpoaNEU3eyWwAFZcpTQg7d
Bg61X7sSEO1g0XfBfBfndn1Vj4Ufe2lkxvXnHi0M67xoZjnEYH7Qmaa6409YCTldsqqRmJaXGAtK
nybV9PPTLJTUYGkmWdR7TitP2soZZSfwkrkr7q1uVqQ1KoRYWUCoGRoP8EMN0zis8o7+LRXr8wja
HCynPhzi5QTnmuwSu5mvklwl3yozpwsTVNQdvAYgRroc8iyj7NAhs4orAGVl11CjObzQm6H5gAyk
3jG7WmtemPEYANftZ/U+io3yc1BL+r0h04mT6zzVTq2+SPsNnqJUaaDlxyrnfhb/VZhqG10bMS6t
17RL6no5RY0quWY8VOOSSFNRz/pYUlrmjR04G5Bh/Xw12Pqkv2+0gWRFjYeejkViTsUCEH+snJoF
OoM/CmrsERMVg+zW0mGqSF2YOVRQRix39MpmsRuNb+fv5SyAdNRUxCorZILM/GyOKtZpOoZl52rm
oII6QUdtWCk+6eCGenmseCWFgWGrFaNSnHVq29Xuf8lBbxk9SDjwOYW1ZOVLpzh5VtukRFcbdKn+
ULP738MNvEFEAG5dgnz1LFo/QgEsvucI4Kf/Or/r756DCf7+q4+tf0U5AUu9a6vLKk1fYvjH1r+M
DD7NE8gQEC9MdPL/lrGQjBOLkoaQRMbBlyRDUISfWv/2CbG5vZOxQH4XlvQftf4PIn6UXsH2CoMy
UGKwDO2DbG3IC0dppWheh37kL5KmyDb9HEP6CpmXz8bn3UOc+mstC9tEtUVwVDW6qtDUENbdj14h
F8UBP5XXXTJZS/y4zRtnSCMyjLT9/seXMmSGkIoMHaojmSen4ughu5DXrTOzSXX4ANFFjE4xkRz+
/Km4EGBfG41XdDpElvGsJC2NRd+RNChrRfdlF1XkxIvKLAcfF72k8LQrDzyL/8UIkqpwEdF8o+B0
8LIUZcQAUE3VtV7BuyAIrT8GCAZcTzDbzvosZrMtcn8F5Cs4bWfF3zh1N33OObSFxmIQ/zVhVcwe
VeebEFxHsrSqqPuRDZa8oQ9cvVCeOyipPNytzX4INFbUVg6ylUwJ2kijrrIOAtNf2bZEfJeaL6k1
/+wq4AZltFjIWI8gAqnklKJ1rK7ldOqp3hSdJyd2/f73E4qq1n7uxdMATacBbpDA8RoOm1m533RN
j9g1ugjYBrpt1c34STt9ba85mvRw0bVlLezs2jB3ldJir00s1V/bUjP/pZvBxyyUzU8aGC3ZtXUp
6BY0+PMPGGWWt6mUaQZxRmyczVbd3GGlVn0NhkYiqaoMQLfzaE8xrV65K13D9ucre5Dq75XiYCJb
w1BBgdMaqQbIagHW2CgHgvjWUYZk4feZqi3lIMYiojL68DodNb2HStiB1EVWIRq93ATKTIAite+6
Cql+15jmqvcMpYbsEvRwpa5Qs6PNHsU4ARMtEEO5coO9+EIaQJB4toZQnk0VX7lT1RBNmNkqjM9D
VIHbxZF6NqzxK6Xo5koCNnTXTPo4epFVF9flEHJuB4mSGqch/ls4QyvQGRDBqMAA52CoW57ahELl
RibERqfoOD+TurKnTYi49Jd58Gd54RQNPhZ2UPaZF3dp8cUf7cZwKbSRDoSx43/IBZhyaWWWPJ3S
sjeWTjLV0kKRy9q6KhB1/KRD4P845FGJk4Zl15BAwSX/COYOBb5USeuBcNtsbqFfgIAFCOxvEH5U
vs5l0Vorp071Ci2OKLxm89Muw8HHIS/touFMyqHUroesHZK10U8I9FqDmcibIRnCfmUaUnDZ1PMo
Lzp+41MbJ0R5Rh5SrBuwvDXflYo8jgt7SgybmM3O+d7ChvZ+yatIyEXw4l5biWWVZ73JRrq00nZG
PSUHKnPmw+GEd6oW0o1B/w6V2xpE/CLI6iZwm9j3L+dq1jGezSg8r+IAuLkbhEZNntxQa0Kn1ZkU
F2vOlppHmsirgJ4jnYeqsnxvzPz6fWE70jd9tD/B9vTVVau36CEYuh8rCwBXMerTgWC3ppOCsiyh
fo+rT4TSMS8/uQdJGWbeMEkFCABCK1q/NkLIC0rA3TddUjIVSK0McLWQ1fJeB5Ljb5t5kq2FT9Zm
epraUgYLgVnw99Mxuy2kobqNR8P03U4NLT9xQYPHF2WiNNtxwK9uYSRW+YOtShuB14ba+GmojQbx
3VEZPjX9IN0XM/i2BYvYQFaxyGYWINCaPnUT5Fmyy2lMjM8ZuXW5VrpM21bJ3JinXWcZW3OoueG2
DdVbyfJlMB41NvMu+bUZQOMeog9OXYcRGixtfJPRLbC9ekzC9DKMGx49nHMFL5Yh9H+gXREi9272
lODyKp6LswnBzmpVBORPKCMqxuRO1aS2C7PNqhvSSTSPqZWBiAobci10crv3cjHM8WKcEnaIJNO0
zutNtENRvZ4j9JyCwKDgPPvKptDjFGRJ1texm6NM/Qkh4+p9XTtW+1Cm/aNA8Jew0Oeo0P/+Lcz0
LYaLcJJ10SH/tdjZdfn9W0S4+OF7EBX5v4of//pcBNNdclcLWzBiScCuwkWJZu3DVz2Fj/IJwCsT
tCMhEygvjqXH8FGRT8DO8zME/mBDPg8fwZTqMKhQHBKnFrJ89BmehY8y55dAt+HwgYSX/ScqaLuS
435IwrFoyEShQFKAZB70pcDTG1kb6OFZ3urz+0JMoCIIGkBYJc0/V9tNsXIypcXo2MjM76ZfnAHb
BHAv6x35pcoUpf0so4pt2+37EhLY1xaJ87+oWAWWa4j5HQVmeTPvJj3iVCwA/G5ZDPNuYcR6ogBL
7IP+zC8jwFKNWEaOMsksSGwaLNdHiQK+enyJWL5N9VCswXymOe0mk1Z8SHaL1DFbFqyVlSzeRqzj
iT+t8gja1xR7x1OzKmvzFEyUil+jImtL3EWNM6kA7odtZld/UGY1sVdQYMPgg+/bQeSNrZas6Ybb
Hx1t/FYg+n6lSGGjnFsB/cylWjXteKX5o/INZqlGzjk0YPl38+yPlt3/rwX1eBM/hWSD7X7AeYqf
viuivL0pjnDb/+gP/f6L/hnG26LBbguE3t4S3d3WDmP+u29J71id3T0QcvUEUTagiODsHj4srLTI
g8cfO84JvEza49TKdx9CXq73bJR+NQ6/f8RjAPzx9+w9wLeiIzsFOC82m+fbiyIay/9kCA6+4d9D
ICHLKKx3HcQxHz+E5M8GAV+1Ey6DhxD7y+7zHxqEX+L9BVgAXO/hfv2nkwFBSaAHdGKcp9nA5vd8
IGT1hJQaQTEcTd7kQIgM2RQAj38yIw6G89mM0E9sChnAAR7ft9BZ2RsH4wRoPKUPxKPE5z+1Kg6e
4N+HLp00YnyUtF47EuYJOHDNJoJ8eOGi2rM3EuYJEs1AhoVW5X9kZ/jlGIi6FbWg144A1S4iGAGb
e9wc+Ma9EdBOkG8B+yBQ9W9rBB5ngdBwfNV6kE+od3AKgER4/BxskKp1IhB5xG1vbyXIQhpUiBe8
aggkBatOwEG7J3z++hUN6V7iT2LTt/b6Hwq3r335knkiHNGocz7uAOJBn4+AbJ0QJiN1/Ljb/N8H
B7/cAgRQm2361UOgkX4gyMgE+PkeoConFhkIJbW3N/8fTgLtYXYexK9/ECjKJzhGo0GNHv/PTwJV
PaGUCHqS5SA+b24kHpYD7YLXbQTMdsQ28Kx8nAoC5/N8OSiMAywmBZ7XW9sQFCq97Nyve36ZAx8E
Of2avz8HAwA1lO4P5NA3OAXIdoQC4OuGQD1BMgRRql9OAeMEeSxRvH+jYfJjvvDagZBPKOFQEkCz
8umzPxVkTk2KKSD63txaEOkzp9orpwKREXse0eHT8x9mCqrOYkCbe+cSzKx7Q4ejaPLRUnjlCJAz
gt/DUFocj7vPQXigOieAyYU80UMM9oZGYBce7Cp8r9sPREMcQA7MlP3pr1LqpI0HsPHh1HlDj44s
IjhVCjt0eQnu+d9rD0aNlFijjSvYrHvnoXmCvrI4Dd7c+0fggIMMtTZQuzbVHyiSr18NUOewERLF
6+ejoJkcCVSp2QvfanTEfih6xK9bCiTDQkp+5/Tw/PkV5wStTEVEBbtLvKGl8JQlvzpFFIGfJU7D
p6oRp8vBGIgio/BXeXNj8FBAfPUQAOUBV7Hzsnk4DA52RMWg3sw/O7TBGzsOn/pUr1sAFiVUrKl2
hip7L18+odllCQO/h89bmwJshgQEFDg4x/CkQqru1aEBrkYoqjK1Hh9ZJOLPx0Sju4CME3yyh8LS
W1wWFI/+aYfhoAzxrJ4MLg67JwZ2//mJDwTqjfLhY+z01ubEQ4/p1Yci+RKih+JUfMyZedHP54Gs
nyDuC5nr4fh5S2fDw7742tiIGpoC0x2PrqcK6sG+KFNkY+ME2ff2jseHAur/Qv0I1zPKJg/VISbC
wRAoxImA3YTI9VtbBg95wuvbSvYJTm2icoAWz+5zsA4U6wQJV2aBQETyeaP7oUCEvu6QpHDAdBcW
w7vn5P8OJoPMzshagG/2RsPlpwbbq1uNqmg1aoJX+vTZ3xs17QSAHcrgTzWGN7k4oBa+ck7ohEdI
VNh/1xXZBZ6dEY5FeolQBkoZD1Pmze2T3LjOEYbSDv+F+QCybq8cEnpOMl7FbBZPy+Rgv9CUE2BK
eJs8rsi3dHA+NqBfnVCqJxa4C6bFQULNiUm1gX4DBHTxeXt75WPj5dWzgII7GFtw2k8bxGEYTfiE
ZRglByFa8LaSqp9Zpv4xKoW82hItFTRyHj6Hy8A+oYrF5iHEAN7W8/9UQvN1Z6d5woQnnIZX8vA5
ODpFUsUPyWYfJ8xbG5OHPtyrl4V1gmIBESNYpJ/OCoEmxdftz0oN/2AH/Rvgtwij9H6H/4u+N89k
XV/8A0/QuOMveAabFbi2vT8oJF8fvvoB5iN+/d97KeeuufDsh0/Nht11Hv/64wMeX3rvWk9P9fSb
6+h7fVd/C6fdD6bH27y8y0AQ3n5v2n9t7vBLu8vbu31s3kO/8d+3dCRZ+/dS+N0VjoRpn2yVdxhj
8WD/s+/9cwTzKy94WdTo7F532R1Eu+cgxr+xnK8dquudku8vr8BW8dorPD1DegdqO3r6vh3Q+6mj
9tpLPD3ELy4hitSvvcTFXdol3dP3PNz9YzfstV/9/1i7upyGYRh8lV2AKyBRCcEmxAPiAqaLsmpd
N21UXB87cYAspnv4/L75q+34L7bbFzqc5ile0c5TiSjtLBnb2Lidl3vbKMgjsUHbS6Ccg6HUb2+Z
gkaW/JH9+Hz9iD7+hg4fV6depwxRyg992JXnkwOps0tcV6GU06mR7Qt2Pa1NKY6DbJLkDd+jbVaO
+Cgn5fDYFqA4nASjOMkEFkEc1FKY+VcpqTONspKU8jpfaPUephipDjxZZHKzheIkkd3C4cQdxXkb
qPLbzIGMvjvEhI7ls59Hi7pD3CzJRk+n4bNam9q0O1PKlIO77TgxK0JXryLicrARUcRqza8Bm7aX
CuG37kV1rQ7F8FmK4cDG0/HM39Wl8Wjx4GDlOV9q843Sdfbyu02S/OeGEtVDx5l9qDN7vd5xMGgm
Hvd014WRd46muHCkZEMdZSWrw3bt5kwMCpiC75fUSI2GzBtDFK9ElRbNGnZB0Z6HuBMPYDBntZNR
uJz/Wqy1nztZxrLq4J/pvLY6Lvtq1t/q0l9+0Y+BzvffAAAA//8=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_xlchart.v5.13</cx:f>
        <cx:nf>_xlchart.v5.12</cx:nf>
      </cx:strDim>
      <cx:numDim type="colorVal">
        <cx:f>_xlchart.v5.15</cx:f>
      </cx:numDim>
    </cx:data>
  </cx:chartData>
  <cx:chart>
    <cx:title pos="t" align="ctr" overlay="0">
      <cx:tx>
        <cx:txData>
          <cx:v>Sebaran PDRB per provinsi di Indonesia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Sebaran PDRB per provinsi di Indonesia</a:t>
          </a:r>
        </a:p>
      </cx:txPr>
    </cx:title>
    <cx:plotArea>
      <cx:plotAreaRegion>
        <cx:series layoutId="regionMap" uniqueId="{B93B08FD-D70E-4F94-9A1A-A6051C9E3908}">
          <cx:tx>
            <cx:txData>
              <cx:f>_xlchart.v5.14</cx:f>
              <cx:v>pdrb_per_kapita(2025)</cx:v>
            </cx:txData>
          </cx:tx>
          <cx:dataLabels>
            <cx:visibility seriesName="0" categoryName="0" value="1"/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1H3ZctxGtu2vKPR8QecAZCI72h3RqAGkKFGyKFmWXxA0RWOeZ3z9XSBVUhUKLog6PDcuGR12myBq
Z+4p156y/n3b/es2urspXnRxlJT/uu1+felVVfavX34pb727+KY8i/3bIi3Tv6uz2zT+Jf37b//2
7pcvxU3rJ+4vjFD9l1vvpqjuupf/+Tc+zb1LX6e3N5WfJr/Vd0X//q6so6o88Wz20YubL7GfrP2y
Kvzbiv768t1NVt+8uL6Lbqqb5OWLu6Tyq/5Dn939+vLgT1+++GX6gUfEX+BD/Kr+gnc1cWYQYpom
x7/uf/jLF1GauF+fU67OOB4yJQx1/7OjfXUT4/3rtK68F/eL2z2YW9T9km6+fCnuyhJbu//35OWD
XUye3aZ1Uo28dMHWX19eJF/S5K70b16+8Mt09fBwlY77uVjfM+CXQ0n859+TX4Alk9/sCWvKv6VH
R7K6vMvq6Ka+SV6892/qU3x5pLDIGTV0aepfRTHK41BaRD8zTMKlIeSO7IOcxoW8uCijm+RLuXvy
44I6fHsiqcv3Gn354pmJ6L+3d94pPjxOMPoZF6ahm6Z4sBEF7u8ZkZJnhMGEFJHfbOzBgB+Es7SY
eet5eGsijP+unqEwrLvEDevoKS2Fn0nFmGko+lUiU0NhZ0wwbjKDPPzBThkeJPIjK5qXyvc3J5L5
/uCZmco1fFkLb/vCuiluqh2f5pzH44xGY2e6krqhCz4vI4qjR1FTKQr/sm8vn+7K6sVuWbtHcwua
F9Hk9Ymcrt9rHGfgMxOSdRP5pzjxSNGYZ4xJCo+1E80EFVDjjMK0qNTZjupXw1lYx7xEHlY/EYT1
X43h05+ZIC7BgPgmAUj7XwBr7EzBpwlTfMVqBPzZO2coxMJxxEiqz3q163uw9n2FO9H9uOkcf8JE
aJfXz9N6kuruaVG1rhvcJOyrHCaAgBJxRoHSDKnMnRB29rO0kn+yoIf3JuKwPjxHG7LTIoUFRemO
N3MK+jiPRs4kNQWVXO7OmkOIRhlOI8MwTMXUvXFNjpwfWtK8aPZenUjHfvscjeXVTfzXU5419Ewg
usRZwr56NbB+36kRfiaIlCbRxU4fHmxlcSHz8vj62kQWX3/7zE6bVzftzYsPgM83TxjNaPKME850
CnD88DORCCVnhOj68em/AkorbqIXr26am52s5mx3XjCHb0/l8yw92frixefU7W9CZIhOcuRx3gwS
wsmB3Iwx8WKQDBdSEljUXFhznd3d+pDPQyLlRfr3D65uXl6nP20iv89vn+NJdFWXD/blIvZ58cGP
6+KUXj9SiuaZIZCpMeHX9h0eI2dC4bfAcXNC3Nwg+jlY2KklzYtu7jMmArv68BwPp/XlBbzPU5sb
0Jo0dGIQ/tUhTsIhwDkT8ZKkY+S4H6nuTGR1k/kANHuG9wOLnBfdD3zkRJKvLp+j6d0fbU+dcoCc
TMSt5FtWCPB73/SIPBM60SUOv0NB3ucMfu5Y23t1Khjr2QrmqV0h+K6k5OofI9sxWUR1KtTEwu49
2c8JZu/VqWAunqNgvgf2T56qQ+GBM6RLd/ltnEuHhkPpGVHCVJzPGc73le2s6sdR4b357H/ARFaX
1jPMeH/fz9OjdwpLUYbJCSSx79soP0Nsy5k5zTnscPf3RT1eSnOfMRXUs0Tw35ny1PAPKQnT1OHy
HhIOQBYTVEHFGc4hpQDodwJ5CHzvHdf3he0e/rhNHX3AVFQXzxH7fefIi48V8PopvjwOqXPU77hh
IuCdmBQkRPTR6U0kdJUWKIt/X9CppczDvONPmMro43OU0dMWxMmZgSreWEL6Gu5OjyUCZ2hQQ6LU
txPBgwktrWNeKA9vTQTx8Mtnljj63qJg3aD4evPCuovQ8pG4OzbNOZPHGQ3qe5IYDEVx49BqEC3B
mJBrFQ/5pQlieFiQtlvQz3ct/OMHTQRoPUcE8fomzp5WXPoZZGIQnexqfpO0BDHgBSVTUj10MUzE
9gMLmjeqby9OxPL6v88Q2L25ierwaRsZKEV3lqS7kHUSsTJ1pjOkxwWfHEHLK5kXx+69iTTe/FfT
cfo9Mzf3sJmnhgPIzwFdM2rs0kFkgguYPFMoZ7B7DL6fD3o41Xcsfngy52nnRXP49lRAH5+jgA7y
mE8etpqA2PcV813D3DQkkmdUR1UQCOE+sTdxafeh58EKT52O8zKb+4yJ5K6s54jkFns+H40WdDmm
eOQuHJrIiptnxNTRZUcnUG5xIfOC+fraRBbvnqWbu9/Lk1sPGwEBNwykE77+HOI4zs90yU36rclu
Zx0PEPte839SOPvvTiVkPUc/d13HN9UdakhPHJky9GEhNKXmPDxQY/c2Tiq5S6xOPNzDiXK/uNPx
8rwNTV6fSOr64zMEcHum9GJ909/sdHrulH6khxtTpLAopcyvVaSph6OIi5jBFZk0Otx3XbVj0+NP
mtPRB0wlNTaG7RN4ZjDvQWjv7tw6QUz0pPMROnJw6D0ZeyHnnSAsTDJD5/wBDE4M7Nx3vbHp/mcl
N31/Irjp42cptyfvX+FnptCZjga7yYGFxIPkTCIfNAf3djnsnzSyyesTSU2ePjNB7Zqt/xd6WtHd
pesCrQ7TXlZ1pnQ07SG7uvPBD7ji3pn9D9q/p+9PBHV99RzR+DcBPbkxoT1PcbTfiUl1Al0qJgbH
DE5hZfsx7k7Td0vaPZ07QedhxfEnTGX0LHtTdgy5L/mNDUWnOPNIbMHPANPHHNE/tOwxeiYZUKCY
1mfvreFubCnaLe/UqublNfcZU4nZz9qqnhi1I4GEVCt6XneYQk1yrUwHVsRsKbzfThwPzm+HuB9G
cnbPfty0pu9PxfQsw99vwdVTtwuhvoS+rrGG8RWxT0u0BJJE0xfXxSyiuA9jfzq6Onx7IqnDh7fP
a0D2m8Cefp4ZIzKYZh7B33yQhQlZTMeaBgXc2D+1dqgAYfppx3zCBcKFfn19IqzJh/9/Lq1/Xt5+
wvrgrx47dU4gJYJ2L/rNsCYZdKqfUUo56odfq1GH0tqbAP/nNc1Lau/Vgy38Pxgr/+eR828j+muM
92/uZ/v3ps5PP73fJq4dmLz6Vbvnjoavjy6+/PoS9TyBSaU9+Y0fc2gZP9A0fvBRI5r49SVFL7qJ
jjGJz2cCXekwuDHF8PCEwGmaqMpjqMMcw7RkbJjAdQQSOIaOLUoErxjAKyh3lWN2As8wlIj2Jal0
NWoFM6T57cqFd2nUu2nyjVFf//tFUsfvUj+pyl9fCkTm2cOfjas1AYUEWgMIUi6cggkEHW3Z7c17
XOuAv6b/Z3BqI65c3btIKn34LZWV9kfqumVguVkVahYfHHqZZr3QVh168c9LZ/D7VRCr1rGIQ/R6
HfksiS2zTUiwwmx49VuWy/CvKlL575RUrrSMLm2vfVdkH4a8Z9UqQEmpt9IyDltrEMTIt4EeUkuY
jdtcOJnvdeuy9Zy/Fe0Js6qEcWk50aoj3AuuGItMcx3RKviQDFHhW2HP0/chL4W7UqIqY0vGGRFW
WXnsU4+/ZtgC/ytSMrVFnhXCxgA7ey0zSvhGQ1PFhZbK3IrNoC7e04GF5raWmee+dxzT9dddxcNz
IhPzo+LdbarFyVuqeSV9JV3KyIblZdW95U5Hb6NG56ZF2zJtrP3LGQ5kdgtOFsiVfL0p49t//udt
dpdcV8XdXfXmJru/tOH7s8P//H6nw6jC3y54mJjFw30c/2AzJx8eGNSB69j5plGv4LVOGdOe93lw
XN/e+Wo1OrKEFDEvMIeB6VoKrXywGoXyO2yKClz/IAnHcM43qzHOcLMAG+8XIFwQSsY2pZ3RjI2Z
8LR4qBOJtkA0/+02fyAAOJAZoxlt4rvNSBPj2qPJMoKMGBoFzNGm9mzGKEzdMWplbOO4qsy1oG7t
WWxQbXTZZjSLt6Xmke6qpa0fn+ceibWVWUXusNrj2cwyKJlZB454BZDMCbI5k3V4kgRd5tT6tuGR
ZLYXpm1yRUQTdpbyc/J3n8R+buVOFd0OXGFBRu+naxLl3vXplQCnHzJEokKCWakxtgJnTDi5fYZ0
zFVl3pX6luXprYZ50NvICNvPWlLRTa2CbmHjR/wHuXHAFyliE30Bo+fcJ+cwU6uqsNO3XiXZVRhI
/dJj+eBbLfH4lUa6Rq3CUBv+kgk1zoXumL+d3i806Wi/Eu1uVMeAq4G2g8MFlMyLRK63+lYvI7VV
UR29190ytn+CCtq60MUKv3zfdre/TcmT2uxbCq5GRfopFZGzcaMqeHOaysisA2UGEMSIGzM5AzfJ
OEu1TyWF8rpum/Nt2pblq5aU/aomkVh1XVU/eLKHW2ZmFPaYbQKFZoG9GAaupRjPwn1SpQr6IVU6
27ZVFF4aRSku/YD4Hx67IfBqhLY4VMfpsNFq9qwzaWmmmkJrtq0Mqo1IiXxVaXpjOXUYfT5N6mhD
ilMdTkVyLvA/MSGVu26oRUapbcM+liuShvGKdJlcYNuRhBREIwQqXAo5Quj84Yb4oHrDSKWzLXtf
SzeFl4e+NZRm6q1636RfHrsnAxE30IAQmPZRbNzzHvvcwDdVI6izDepE91ZN7qbtirdV9fHxdDBN
JBloETSRTPSu6YpU1HXhbDPlxb+ZBCe11EPy6X9GZcK7Qhq5q2els621vL5IQ6PfNnkQP1JCOAfk
yDUBZ0RQBZlQyb2AsyZM2i3AR//GbcJmVQ968rvrFdnF6Q1NlQGkxg5cBG8mBnSIOT7fE0+QuHEY
FFW7LZ2YWZ2rRblVkJr8IU34i4V98amnHanpgIfYFrpDUE84pBbHsvI8UnXbZOA+35ZeGjiWJw3n
MuRNnfyui4IE6/Ef+qsg9hx2qZeZ0VzVbVTEK+7VlK/NcmiJ5Tuk7qygHLJPut7UzUoEWVL/jput
0vy6NEPlWbIKZW3FNMx7SzfabNhwGWW/pbHmm+tCV1l1UeXS/0xZUra2XunEXNVFXXTbNh5oculn
mXIuYlIKe/AMVduZbGl80QqtqlsrbEiRn/csTH5npCleC1oklRVVXOsuT4toehpiRpvijEN3J35w
9cFEG6gWYVOe1m57GflWN3RXQZ99ceLhb+mRP0/TOlYHEOK4QQHXxxA0KUysqK4dFrgxabexE3Ar
7zhf67lvbrsgqhaUYfyo/YNivMcBKXCcFMAaCEoQLu1rXq+ZXuIyvd2GOdUumwpsdpp82CZJob0j
mZleaujzf//o/QHt4WTijCM6GTHdPlH0nOdd6pX9VoQa2fhuDXhNdIeeyzqLvYUdzjAT7vw+d4wp
Hj7eK7JPrHTLxAOLu20fd/Wqc9ruYuSDxevAXD96X7jDhOCeBXj18XCfkAoZFW7u9tteU54dZHH4
WbRdfN5GJV9QkVHdJnLjuCsNg0mCmIxMDyniuA1vsq7bakbQrlUfqVdZK4dzP4nZ65Ro3SdVm3Vq
sT7QHu2sGIdXNMYBDxO4fAJQgyaLpBkn3baIAxKueRpk0cos835YNSpum81jmQpTGA9/7Jep+7bD
ffnlpipYWjdkm1QZ23BP/FYMHl/HYRIvUBrV7pCnCNxxFgP9IRSBMz4UnzB9PxSOGrasNr6UleFs
K60PF/zIsTqCCDYCdz9mJ6bqCMAvKtWnZJv6mWflhajOVe3VK5fU8pGAFrflHZCa2HZaisz1+5hs
s4bqVmd6md0pKh6tDqACJINksaFMKSawGRggNkllDtuhj3OLG1VtR16WWY4n0gXezQhIx+0MFLEg
MtPQwUMBlZkWDDT3yZYqg2+SWvRWpufGghUfe3o+DmOiIRy42UCi7pCKKrSKlPCXWxYESWo1ouXM
SjLi/1XQvtzwftD8BZIzSjFOQ6HCZTJGYFmHJHFyCRLngmzNkn10Nb+6lJH3J5Nl8XhhIcQF4sQF
PRT6NyFkxH3phklNtiLx+w9N79avmqHy7F56/YI1zewJYIaMySgE96YxsSadt0E4DKzf6m7gqHPX
kxmzO6MqpJVyZFfOT7uJceUT40XMyAQViENMzLMfsjCuTS2NU2MAJlTdKi/yz1WbioUYdUY1DohM
XR9OU5+bAzwE9drQUmlO17nXrbS6Hz7wIkwW9ILO70ohxYbUFYQ2YWJSZkNeSDZsC14WkeUkUdtu
HKMZOiunnqhXPE4Mc9VHNYPtZbiRYeXrXhaupMyja4eS8FL367Td4KJU4fzZ60X2+bF8ByK7z3aO
EaCahu09d30zA7DblkHr2X6Z/SF4xxf4fsyG8dYvKJLExREM/uZQuIXmZmlghN1WN0n+Z+xI5wN+
5S9Q4cfihW8BFsB1Skzg7r6Jf6G9nofEc9ttkZhus0l9VmurMA7S4apjtT5YjRenrZ1lZZyep30m
0tdd3ORvClJo7J2bhll0FcsCKctVrfGiuXTDNC8sLXFUuepqt48tURh6vKmJAd1UsZl1FwEk2J/z
ZOiMdSWIz+yCG9l1SPTqLUFqgMYrLfPUhzAPAQQsr42S7lVQ+UOyHkjoN19YITLNtOIwL24RYGTc
8uHdGgtAJHhv1G7IHm3ZOuoX4BJcFpqW2YRNbtnXaSR1wBxTjzbcdYJV7etqxXSyROpY8MBiCPrh
7serDabJBWSdNTj8vN2qNOnsvm/YOjd8YwEiHuXckJInBM1w8FTIweNwOdQvluqBm9W82ZYy+Ctu
h+4La8t4K1ylrfx+yF67dZ++Lqt0WGmsY28Tkiwu4thfolt/rIujSoBVkImOt5LXoZvlzTbq/Mhy
A1V/8hrJrUo4/tVjbRZpTqQ4DSRdx+1OfGUoVB7HZdJshV7XFkkBhAdX9QvOa2ZDOMtwFKP5HZ00
Y1VyH7jpvNCSIMeGEM0kVmAM7P0wIJ5hQc5end7QPKmxvVTi5FbG+HwvfiZaWFZuVoJU0ETv3chv
rDGS/Uy0NviZXQmG2UwhcLzde+w9UqakrZb5WbPNS7+0U9HHf2TMMK6ES+NwQS+PgzPICdfoKHQo
mZjFHa1jjxbpAtNRRg1aSm186m/r0LxWlfPW8FhqyUh3FgjO8XF0fNJEpILgYsLHQcq6V2IkmBJ3
jYg32iRE784TBFiP5iPya8gWIsEMty7Z5CjNfT3vE8qabeU5gWVGeWDFhic3cdYN29PaocCmQ2hg
MuQnx6Icch6wrUM2qkLWXpZ3bEvKQWpWaxR5vumAVHOL1HmuWThzUm4FrPevejqYbMVMfegfmZJF
RxnDVCiM3ETzH9ZzuIqh0nWNmVgFzwfqWo42DJbZV9WFJ9tmgbmjYkx3jHQ67h2BgQPSTxRHdJFb
oXbHt7LCbmIeUYtoXrg5zddjbTFRzkTJZkwhwDdPtCUpo6jU/IxtVV98UHVUnHsJciPSUK59mtLc
fsbaKPgGJAm7O+Rdb1ReVnQV23Y0qt9FojRWbmT6C3oyQwWXJqP6ZDAd5aDxTr59c6MJNzXDL7St
zniycjOD2WOm+NFRmUJdFixDTxsi6LFAvU/FlykftLZ0bRR64hreME6Y5Wppmy4w7Vg8CmVgaD4O
0LHuNrEwI85U6BmuZ5dJ6r8ShR5savzjUgyOWPAbx44KpBBXoHCGq/OQJDvckx7m3Om1wbV5njB9
lfU10IFWRshd4rZ++nvd0tq3ez1e3OSxzMbi33hqYxgO5Y7JUaZ1oaN04ft2AMwWWF6S+x2CtT59
rG4g+Ye0HxQQIkPmarLD0MMRFw4x26al1m36gRiWdMxmAYEe7QYHMjKyDDfSACshIXfIx4Y1ji9L
ZCCSTpirSm+7VYuYeyGMPvKHKOQCs+PCUFztjot1J9YESKm8ICHdtizDqsGt6xU1LUEqkqzaOGjC
CyQclXZXMT0RqyxiNbU6Qw1e8FitGdtg7tEBWh84isKT3WZV4TRhhHXo8WuUeY11a4g3kaLv2iSq
10KV6QLFGf7qcFlE6MrUR6w1oYiIv+oFEgi8M3O76c12W3Xcff1Ib4W+D4obcpGeG00CvRwHFi6S
hiaCJMKu45ysE5nDIto2WdDIkTsHPh5UoCSwOmwEvXyT88RPm6yK1WDYWd17VuGbctWy4ksSpdr6
9H7mKGFIe0zyIMMDPH64nzbOaZz0qEXLmH0RwCSfUonvrggG11zQzJEz0z3Bv1OJ8iXFuP7EA+ea
VzBVRtz2Up1YUZeiWcOQqL/FQX8da4a45KTPX3dZ+uhsBbiJK/XHJBYSS3KKEbK6DJouTbnNShEh
sHHN86aPk3UdVM4CO8dNHG1SCgk8N27RmGyyM9nAawJSXkvDN71qySpFTemjp+XRKzE04e1p8R0p
PYI+5DQpWIpjB41Bh+KrhjbRAyPntsm1ai2aMt7wzkgXXNd9cnuyLThgZBhQO0UVf7zYZ/9cK92u
cRhHjqdytCJYiSyUZNObeV1YTRL33OrbxAP6ijIVbYmbG1eD0eefBl9P4wsZxwyNNkgY+SuKVoDb
tM1jd9XrJE2tjoVG/daIymap52BGs0cIA3eIeB++nR2u2eBOo6MMy2wt7io7cyJv4znEvTRK3Xys
64EU+Hh5KUEsi7NyIvVeBVDAoWW2o9URugv66lxoIbk4Leu5DSF9iBw2nIKONpbDDUkWloyauY5E
DE2s2o2VlRhIHPmNH5z/BKnRvcFqGGVTL1ciIo59mum2aliyjniYWYnPNbtV7WPDVbBuvEzUwElu
oG402ZTXFEXnsFi3o1QMr3Ld11dhROMFXDbHOjQgIQsAAAjcPKEShLEHL6txW+/bxgpbaVoG8Zy1
8iJtwc3d5xOmtgJwPn79g4ETf1q96cu6bFUZ6HaQimrbtkJtqqGnG92l5YbRLrnUQp6+FuUQfAjS
on+beW26lhrcnsaNwUJgpj/eKyF5j4MYPAbEGb/8YN98TU31rgOYZaMV0X+rG534HGl5d45jxl0l
g1YtHJIzXnAsFoDRgsHdkglwS1hE89D1DZuGiqyKIbmqpbaufZquA9//clpX51wgrmCE/JDRR7PK
xAWqWtVao7mG7aEmhiK7x99XgXIWtjSnQWrEboiJcIf01CL8sE0GF0lE2zeK+KoZjHKdIWt7rjUu
XSA1syF8BwxQBsUENP7f5PB3VdJkfQNSMqqEHWsRdCfhYiGCOIL1uPUQtT6kiohQBpTiUCf0LIgM
rYM3SUJZrFPZdhvd8+MPA4/Ti9TTs8tApEv1vhkMMNZBxiI7ADCipEOiRoCR1bQIhd2FQ5Ctg7rO
/qqxlNIibVcUF0Fkho3V9cy5ITIYPp/WlBkZIiRDjy6SVug2HHsU980gNToz6GId2I1VyLRnXnYd
C023Penlm9Okxo+aOAFccj32yhhwAegGOiTVpcWA7gdsFNI0jU2ZD7FYhRXK8ZcpWnWYpUJH76wi
YPU7U2/Lzs6zJnS3p1cxy24T2oqIA/GNOT7fyzF5aZJWaU+FLfosDK0gcupoHUaD94ZQp02tQub1
e4D0bC27hC8Qn+M2xIn7N8dKNjJch8TRxJgHmsyk3VSstMsia8+JJsRW40OwwO05i9knNdHlsmkq
5OpKaddJIVZk6JhFXT1dn+bmHBV0hkuO7AFg5DQQ9tuh4QkKM7Z0gv5cp5G6YAFTq5+gAgyBH4xa
IVY8ZJuv2qQ0I8hMxXp/UfLgjzFttWD8s1vZIzLKbk8xWj7Ios869FZ7XN8So7smg+kuSGXOw2AQ
DKfA2Hor5OQU4D16TPWxtydsq9fw347Vh/lrZMU8y239Gx0XUi2o3Ny2FMLf8buX0IU5tToWmH5R
JAjO0Afsf0JuP3zdooKVLMC9Oc3GVwyNDbSoGB6l2BPN83ngRyDjy+6VQBRt5YOjbT2SsoUdHZMa
r5UBpkSaRxF9qnNuwmPZE+hc4gNMjB296xh5K2sY4i+n9W6WEvAKijGAY0gqHapE51VdF4eaYfus
zTci0bR1T3O5rvJkqXgg8FGHzhGb0tEgBOgHgD6NJiJOh6DDSW73rSg/drC1lTdQZ13XlG0dUfkX
P7E1UIIjxKjpUfd3lBbmgKMUzjgk1fuxQrhGI3t71aAjeEHnjzXwvpKFK7QUWgwwEnLIRYmwMo7i
FKoRRN45yTNtpaKUrE9vaJaKwnQKIjFCjixLDhkpygEbCtywP69J3LzJ2zZaKLwcn2HIceCSFjGG
zUAIE/sNAsLLMWNr04Fzy/QkWVWt29hJ4LfbqG34qu3KYlUWLTtvKZJNpzc5pyUoxTx0TiADNzJh
z0dhrgWZWtnCR0UtXSVoJ7RIWedvHN/JbbMPnQXgfnxYKhgZMym+wAD5fDo5LNMiTlMEQ4ZtmAVa
eLqUpBG68t3wS9Egb7VGu4P5G7r0nKsSVYcln3LsLEfqaGJDmwHueZhWwSnmjExVtTA/ZfTNRahE
0V50ba7HtlN4RrSuaiW+yL5EKHaazzPKNJbdMdWGAAnF/sk5HUal4DoiD5uxxFwrkTlr0oVL9fcZ
94L5KOTOEH2MfT7j/vekqQchBi8iz7BLbBWKgz4Oluh0xaoqWVCcOVIcJSHMmsA08AWWh6QaLy1I
hAtrbBa0MrNkGiUXalDDtddn0cJBOktrhHjIYI4dDBNafhgjECxiYXsOH1aRFkav/RZHXuZ3S8Mj
s6TQEIi2G3QTQ0MPt5Vo2dgbnQk7L0i3Tg2GQDYHvJLIbyyoxJwpjN/HgnwqYAi+7fCQVCEDVTKO
0StZyf4Nc1u2Zo7LV01r6h91PcnO85gPlp8t+pw5ZUS2GGgA+UjEQBN+9sRxWNMDNw+6b2yKNI/t
QJB8YX9zVICG0d6IdDG+72zCyiiTsd+j0mHTZmg3eVua67YNlwqus1QUEkMKeSg0LU1OVEQVtZdH
hmFHReC/LXQ9fqPRhl8/3nwNGC9yJyhtoYP5UFat6ek6XLVuu5qLEQ3S+msRkmLBOc4on0A4CnVA
6fjhbpN9803qjKuUGIHNQumtEMH4K4nOW6jA8Gi24UgD/MCND8C/aDCbqADKqD6qy2VgqzRyLNV6
wZYn3VKi9kg4oKLrOOAowA5c74QKID7DgSY9G04pP29lH6zVYIYL2a0jtoHKCETHUip6vKZjVm7J
SFLI3rMBvJrI6iKnum1zF/OQPikfXRgeiWFSDkEnDu2jrEvThiXGrNColTt+ehvXY5a98bqlys5x
ggudEeAa6oG4RBzB9Hhw77ny1BGNCqvQt7sxK/wxNwNJM6v38z74XePKLdaxVgX531nmSsOifdol
K2VUPN/kqei6c2NwiLYNukb4b3tDZfkfpy1inFw8xJfjxVbjl38DgeFbp6fZPtLGVaSVUNa8i5NN
zIM2ueO9LPhaya6hxcrLjYZ8HGBSxTbLtD647hPi8/dV0jXtqqEiqbyFQ+m420+OfQqAS2g9g3KN
t8/scy0PAhUrM/BttM763bqu8qix9NRx+vdIGJrivW+WzW3hxAb9FGlBk/+RGTLTVy7zpf8aLZ2B
u9E86ohXgw9ceEllmi01nh8hPqwRK+NjEwPSNNPeIS03ay81iG+7RRWmG99xabMyjSbrVglaN5J3
NIkNw0Kiwm/Q2g9uraXXErVeEOCILA8CBATXSNfiCEebA/rCJz6NYeQjL+ImtNMwrYp14kOrLZM7
TvTZcetOfqAdS1uOr6nxAy+yWMKN6CZNSf5XnqBTk25Or+cIiWI5yObCHeB6LjjZCRAOfaLx0ExD
mxl9jDq0oslqwJj1W+q7/ZuqcrIFZTl2TijejicvEAVK39NEFZo+ajMzcfYpzXDfxhWNbqHpj85n
jCViTKihkQtWgurYoUaiGxL1Zy+KkThllcVUnKyygFTb08y7x80TYUp0Oenj4C2SfuaETBoMuqww
a24DAyKrGAlf9lZeN3E/WLpfMPfc6GVrrozIocYlUmFZdKHDUG7rJBuSt13M+HCemo3KVq6UGkaS
mFfHa1bxJt8EGtUh+jYgsW41vJLFElY4tglUe8EjNHQg/YsI+5BLvawdYWRFbPvCTdVKUbf3LTd2
DLJyzAyzJkiiygaT6ZGbbzBIxMSK8k7XFlTi+CRB3IrOIlR+kMpDgf9wGRit1/UeuNaujb44b4vy
Nldu8AqDWkuRyIy2o5lprJgK5LqRxz+kVJFmCNDjH9pRI+KPmPb01hmJw48h68V6qBNtQUFmlH28
rEYg6tGh8tNE9BDGmPIf3NAOiOe9q3rHGDYioEP0eCtGbmis2mP0E3NJk32h/hy4bWDEtoE+kk1P
hPCsIAj7111QDX82UbiUlTwWGURlwLqAnMbwedz43jmpVTxhjj6kdl7T6KrjvbYxIpQMElVWj9YO
1AQxV455MhTYUTM4JNUyBSUdgtSuhe9tRG8amDdNDQz6NUHyWCiIzgR0VyD7wM3xBqGJc87donHN
2E/twUxKqxe1v6kMTDZWCCQXDoI5Du6TGm1zj4Oxpg29UYTg4JDIVcLazpIty2ByxFjg4LHWY1eY
m4CFA7ArNvHxXYdwIRVFaodGlK9qI3oV0qbAhKNGrTCU/QK5Y6UfyeGqBIygAEON92jt70wvY+Rw
8iy1gyoYLoMSHf6IUMsF+Hnc+zzKao/MxGvUAzBF50JWnSq8ddkGzo3Z9c160N3cilCUW3EgttZy
RdC/Uk1S/dnGkbmw1zkpog6C4BhZBsQQk732Ia011ByhMINfv416dMH3GmnOC51mCzY+RwoNfPjC
NRQd0HzKD9naeykaNZ1wDBqDdxh4LWxaoM266Uy1PX2szenLeKELvuUIMxKIVg4p5QRRMZJmkT3k
Ircy0wlX0VC+0gha+omTfTlNbW5f6LZGBIHyNShOWKgqFJFEFse21hhsTfyenhPcIXNeNcxbYOGc
Zu6TmqhMiAtgHJF643n3fzn7riW7bS3YL2IVc3gludMETdBYkv2CUkQgAIJgAMmvv02dU/d675ma
fXVcZZdt2cIARFirV3evEVf/Ahqqqqd+kumVe+StFQSNFS5lgJ3QNfTizsoCW4Qqp+oArS99AdBg
fw2w59iHXj/fBmJKr3yx7V46j0PQCRO2CRstGeXVyzVcPUEh+cAaGum3tQea/CnTxD72hU9/IsRb
H6Jxmm7QEDO5AqS+uaSoSIC4ge0HmtX5XpkjLubRw660xZjdRTOH4cjsMND/8Ok2lxXIRsG5Rt39
fJxVewlL4CxyWFgfVXFGwEMdxHJlHbcNcLmOiM0BlSL126RF56NY0wKAVRlGQdBcR32Sviw4+c9B
YANAD31wq0w+8vL9E/DWGoJ6hCgVMRDq1hfnLUqWBEriVB4CDxRKi0LmziKFfnl/lLfOGQoSKPQj
Z0ewejE32cTwBWgwNy2m/mvi5Cy/Mgqi0iPQdt7U74+2/W6XKwnqLpCuGHob3BbnK4kT4Hec5fLg
0lD+BVcKeWyKxO4JafvPoRLh4f3xzr8caDbgYmzbA08ZKsKwkDofz44dYYHnb3UXZn5yleo7YVOz
A4Ne3kF3G+yQd/1ZFPTfQTPoOTE2rsl4W/J/veGiYItnWhTdozEnR5e2wUE1raymRV+LXM/3yH+H
QpQMJBsQ1SvbDQBh0xDTFXWegE13OlTeTTT5/pVTdr5H/jMKEN8M+wTs69/9a/49IWDIrOMNQYF2
omo/zancqWLke90v0/P7H+ytCW10JWgfUf37bSr276HmZugDo3PgsKKXH7rImRsCwOSP+CaYEEoO
IMeizIZoFYWri23Y+VaOoKh7h0nKcO9xj9RZYq4l0a+WbWsGBG5xDHNQ0KMu6Xgsh1VX4YLsMORt
9jkfC1LzLin2c9yRK/v8raGwDcBVBwoWQ0V/vuX8qUfngaLNAWM48i0kahHVOgf8phlWcu1iej0Y
iP6bRGIrOYAecHHp5mZV0wxPgAOI+OthSr38uwq9tmJDG11zLXm1HzZZPjwIoN9B3TS/JLLalHpp
DwHgAbvfDOXcS/Gx7QpxZf3eHgbFZkQ3Wyx1AVwbkwsqccoOSjlVqlS0ZU9Jvnt/c7+5cIDCUNIA
+pBc8kO4V2gtA1IcXPybnT6PSy2mYawNxI7/tWT7/zQy2vY48mbcscA7oCZA2fl8SxTQVPo9yTEl
1pky6OAW0YbNtQv9jYWDlnV7OsBD35z1z0dhUQM2akvJYWpj0tRw/qPfs7Rb/yzd22aDT/ObVbOB
da8MIuScdiOQKNh5CB4DD+lJreNhOM5+E/+Rsun3UKiGbtIItFOB2OhiSr40LiYqLkDgEW6HcvBS
BZxA3+qD+/v+hni9eikWbQsrUGQIARedr96UuR6i9b44mH5ArXeC6pQGbVa9P8o5nrNNCA6F2HJo
2oNCGnoDn4/SZfloOwR+h7zPKfki+jb3H0wcUb8kxEEOwdfJqHrwePMDrO2R1GsWetdA9NebH9Kd
DYrAfoQwtdjW4l+vYrK0XhSIuTj4M65bw8e4InDGqkZh7P79Cb+1rEDstxJEDOj5En/TiRaNB77q
IVC9P+ygbfcVVCBtdO35fWNOKBBhIFRCUSO6RLiJTajN/JYcklH1lcxjfVBGRbVJl7l+f05vDLUJ
4ABPYRHhYXeRO/S42GPUN7xD2K6wCOrCv2GDBlNIJ65h0W+MBHMSvFegxEDMeMlCaGRjE206euxH
OcCbwmS7rtHZ3gnvGnfkraFiAMybHBQXyKXQdYI3jwYDhh6buP+7yWG2OffAjHCZxX98wUPkhGkF
0YZnv7o/mKcXE/GFHmls+8om61jFhbvG/zoPb3+fNNT7EVjAcg/S3ctnWCDPcdQF9Gjadu8BAywL
lv5oh+mub7W5siPe2OWA6AFmg6sSbRvj4kBFeoBmf2RHRsa8jB1Nn/NxLq7krL/38P8L2bc5AawB
K3eTK6JAeSmL9ELWJ15rvQMYE1C8lVMx8+YBYGI7Pa5hTLxyFHZKK8+toivbVPjPAlmfLlGbG5Jy
dYOWh5alxlT+QAbzdZQ6C059wHJyJXh8tZ3wQCAi2UJ+lPBf6d4DRz1tKFXHKHefjRZ9TbX6W6v0
mtDi1dJj4XGnQsiPmtvWceF86Uk7eSgXGX2coUmsM1jT7IohulateLWbtlFAiAbMiZ0LW8LzUSxY
kBoWIPoYQQkFV47ItEO5TvA6Kz2yTvJmxQ8ZX3mSXq8hQiC8tKAK4G1C6e580HHj9qUBz5ExiZRX
KfQ8UY0aHGTMPB7otav6onKJ7YVqF/AkML+BT7xmmRcz1Hs6XbMDyALrPVczvbEkUL/8ZcryXQxf
tbEshqnQR9Fqlh2Lgm9efx4cbiE9jttrOpBXjyUeJ6RsuPkQBuLOuEgNFOH5JMGfOCycfB2W9RBq
7yah9G86N3fcpp+jLrtTkb1yP13glts6wEJ7M6EAURv9IS7HzftIFzA1LrAOJghA5tUgoHEC97je
D45qZMVtUPT8Vrbh/AR4MfxCYpW8vP/IZPi4Z2d9+yEAuAFz2DREl6A6a6c4nine6Lw3kBWGXZjb
XaFUlByVJAgjc9b2jw1TLv0jwOg/09+qIfDFwFOA2sj5tlu9sMvCZSkOTdAZVSYmQ82JrMn0v4yD
yxIJ8wbMXopFWZu2oRiH4pDAuecbbdbxCZw/dSWEfH0/RHA9REUX1WWwpC45rNrjPOixtw6tybI7
6DjaUy75NVLpm6NA9wrd6cbOvrQ3QKAq85AiN1oRs0U7p5vA1W0wO/nHdwIyPdDYoI5CIoGC0vnH
mROqWjMjyEfWzKsw8M1tkY1dLWR3Dc5+a07I86AhgIkCoo+LiDguGm/ksiEHSDT4l1T1zSFprnKM
3xwFkCggGhATQJE9n5DuLdFJwsghmpplB2qzfxw98Wf2Sv/Z0yhM/d9RLpYNEv+uR0JEDi7j+kGv
SXtjGJxlB+6F99BSZLs/P70F4IbNvAwUnFeaJ9izzkCDEGGjmn5K1/xr00FjCAVU7XXLjWjHPyNS
/p4h3qcY8oD/wCgXlyU8sdLWCxQ5ULb0h9y3omZzsT69P6/XTxJ4jYiyscvB90FUev61ZEdAeRSG
HDwCnwHcf8XRKebvsDuSK+WjN4dCwxeANWhh+oom5waHsCEaySFrkr8WPfuHNRNQfBZaHt+f1Btb
EPS1jcMWgPeQZRdbMPaaBN7NMznMvW/LEUq9nR+Pyf6PR4GmYgsPI4An6SWGLG2aLlRo7wD/5y6t
SErJXRyt4Li8P84b6xZtYQNCeMA1v53V/53c4Yl3utAMxIYmVg+eUO5WeKaolrHX/7w/1OuoCM5h
W5EPwXwWASU83w2RNLA0CQd2HHXo3w5kyU9g7vfPuUyHf5LM2mtY4XZMLx7FLQb+PT8kXpdgocU7
6a9ew46BDGdTui7KWR1a6MXKOfXsd0SzJIczdcL0X1EDPka5+H1vf4zZaPUOUiMfZjCG9Oohh1Oc
exxRNexKtBxqklJb2KFXOssGWq65meJvUzqSr8SDOGGHx3YGvkaXwdS9CKko/WZN829pl5Gl6pvA
Zx+IC3HBBKYfhwMFB+x7oTyb42Gzut0H6DBQ7ETT+10F27ox/pb0EzhyjXNeU0XDjJ/ARa6HXaOj
4ou2dtYof/lcHnJPxvGV++mNLY+aF7S1kPghXb5kB9jVzPGcRuwIhmP77Hda7KFc+x9exS00h1ET
skQEzRcHa5yylozLwpCDsWQHdEVV3Qqo4/1d+OZc/jXKxd2uMprCyjhgRxII6HrGuTbAMer3B3nj
VKGutdm8gpyGqvlFUKRA4GMA97HVm8nt8nw1ZTqrYMfa9ZqL8ptDYSRQHJC8Ank/P1VWg22jpOTH
wDTyKBLkGJMRwQGErejK0r0eCo6kiPS2vwA9u0woNUqWkqchPwpG+S5rvGFHQI7fR+ucXrlk3xoK
oRFgfvgvADO5uCukkCgNyYIfuUB5EKylZFeAofk0xPE1tv/rDQG/69/GriBMbfjW+QIKAlPcLqHi
yOwoS7zQXRmM8Ln60x2BUUBSgss1QBNQN85H6QYx6YgbcSSaU2y5Yqxg8/TZd1eFZa+XDigLCAwI
LBHLworvfCRUsZsIOUB77DIXiAqlw2WomA5g7uSrwr+WUV8Oh++zve/RZhmK9OeSNuxo3OhUFuSg
8mUdyhxNURq0VJU0xG06svVKunWZ6GzDocUGUtwMnE9Ym5zPLjFh52cWaFrnK7/qFTe34KnLum/5
eLAwl697X/pX4pjLl+v3oDjMv9cVfqUXZ8wDVgfWHTwF+iVgH71s6nfg+sQnEy3TPaLc4cr1sU3i
3w8XxttKguDxAQfFVC9uQsKaZaVr7qE4yGH8avqfOgw+yd4+ulx+VCQweyXcKVbNlSTrjY+J3GcD
KcHfQzJ9gSGQbiExbVd6ZGEki1IZqp6XtFP9zq2puXYVv7GsGA3JKvqbA628ZMB0Y0xsMET0GIDs
dnC5RkTP++GmpXDYdFOxXNOKXB71bV2hP8C+gaYbade2uf6FZKcZY57VGJB2ObqY5NZUrVTXnPne
HgVaDexR1Fwv45w877Sai5ge44XRCupuW8c+/TMSGCQnQCsRg8JNAJfJ5tR4PpcgQl6XaMaPKfid
eSlibW8ta+kdSxOVlrQB+fn9K+yNecE2DvEoCCmAmi5DUn9JUHKPe4w4DOphCJrxpuFB9vL+KG9s
wa3kAfQfbbwB0V8ccMmLOV+E4UdPgtYNF9Tkw+KF4SGEK+Xu/aHeuEtQoEQqibsS1Y1L+bJnA5c3
jY/3rDPdM2MmPxpckPD2tkSWSw85zJh0ycP7o74+3Phy6H2BsugWCF8e7mRZi7D1V3FcwOKbDhy8
qOk2pglsFV2PP25cOsrvA+Gr2TWBHTP0iZIpuRL3v/6Y2DJojgle2IYP5Bfbx3EvDQammuOQ8Paj
Y/nycRwH8/z+XF9/zN/riqLzZsEM9P58k3ZeRxIexBzq0n681U6sFWl1+IETnV2JGN6YECIgmIih
vg1c5jJG7dnoD22Y8eOs5x8bv75uAQ8d3p/PW4PgQgb6hAAIh3v79X9dIHDtEp6lmE8Oo5BHL/PC
0qR6/fr+KK/vRRQUt745uIkBiqcXRwAASxcDRRVHZRL+6EuaffISA69GyoLgVIR0vbIl3xoQ4Onm
uLnltZe8gNimzRy5pUHIkIg7sMODG3QdiW+kJcNeZ0t3en+Cbywjrset6QcydfCXLrYFXaC7pN4g
j4nRdh+6kZ1CHrgry/jmKCh+oMy9KZwvyyzCn4MIvgTN0eSTqbhQgpW+s82XK5N5hYT/VptBPIeC
MOB35H/nu2IM5yjuIoApzYx2FbCTkhPZF3CknF7QCU7/9ACbebdD14rTTGAsduww7/UkVq9jyLYH
imZxg+DrnevjrHtS44KeTCVC1hY/dpradMcayorDNozZLZA0SwTeU/F9wj6foE01riuLsYOVXNhb
G1egxYMO2Ta00198MkCIT1Oyph9J4vDu0XDatPKrzJYTjUJ0KwlWNndoYbQy9gyFXtp8o5oYdOkb
48BT5aS8sL+FtCFjn8C4ASVGqClfDmLTcH1MElSD66TzzVgK0g3+PySky7KzoYNLPVM8k3cosKq5
aoQ2T1MRcIc2fd4YmWpeHBJzQdo4Yyg4zWNYhomhwVIyaR0/arTPy3/CEzma6pmBtHdXzHRNqt6k
k66dilh/v8B+3z80slX+E8ubCBqcYvbdLdM+KK8N7tisntAbsa+hUFHRC1yH26JMsb9h32Q0ZaUb
pmUey16Min4Alhr5d4m/yqkyRbg0lYOfzrdCDWp8aCaTh6Wb/TapBm3NzzlDoecmWL1FPdk8H5cd
ioieuvGM72DZJOZkBikFbob13MxrthsgFsGdG5Ne33eeysa956VeeEQe5dTHhaJudCKWpPJk1yZx
tVtAvv44w0wtvOtYCI9C2TdN8He7DpnjpQG5a/mAUeyyh/d3Yb97qDmmX6NWEYQeE9V6B99trstE
hDDRheGTx1hZzLisaTllweg+5AlKfDtYpwfsEYE8yNba4rFlYJ4kYCYHwxL5rozSodVlvyw92trI
NRpq1wd9di8WK7Pd2FET1oBbGvcok5YWP8PVo8VT16Fj3VMRTRAU+tkUNWm5Kq9XxwZeNtn3nqUD
HHDzaLA/rJe00VISBRVgUJko8NqPQ4YWFU2Vm8HNN+0wRv2NFMMS3Fnd6PYgPUje4Y0zCsJO8Kih
4Sf414fhDzdHIvuQ9tSPjgbmvuNfcwh8em89SOL3TM6B+7LkVgwnido1x1lD+yCx27i/5iRoNLNq
bTspIBSgDIcJfuuiRTEttO38CzAaNMYd4qT+Y+uRHL3NTKbZk7ch43vVowHjjoFdICpauAhpnlsC
sW/nYfpkTWDb3YA+GxDerB44+z4pcCuR1eCrTH3bN+h/M0b6HzIDvCpNPGfeKfTk8LSmesyaMpZr
TlwZgitfPKxtr/NnPYYJffQ7FwaiLLTz+VraNU8BftrGIWjnk04++BPKv8c2ZS78pOBSsNRhOxVF
GY9y+50G+CDVARdsuJkhL+R7Ew+JX4Lp3OeHKeJZsQNASPRHg3AzLPs+4v8Y9BSNuioZ+yHagzjN
vgE50Hy3Bn1DjmuwjmYH067ZffHgmyt26MIVJ2C32TEeKsUmp3bBGMIJp0AWbPYM3CrxEIedF7ES
Wkna1RPrUlFGMh/cN7SqC+dTqBq50YVhscArPYWg8XLO22DnCCV6z5NG2U/TWATya774fK6mlRVk
LcFWyH4Gyo4Klk0qdxwmJUNQTVF/SkIHXlLeLfkuSvruMRKIMio9pB2t2xT60Vo0jPbV0ri+e4JL
Lr8FDuiaXdiwcbpRMhX8jiwWHQJXL2sEiGHFODzBY88DSKf05N0PHqH/bEAu4zDed3at8DCS/pfw
BHkZA8vnm1WPRI6gKuWTlnXGFYsrgJtTbkuKivkA//9lRoxfjhMfYPCNu0z49wGXMN6BrIz2H9Il
5P5flpgZG4AoOa11qhvP0/hvRTfpMkADtPQRKxuup7ZAZ9OPOW0T923uxnSo9ZS3/VwOPevGMp9S
ONPYQqVRpUdYOPOyT1c0zKpsF8mt1w7vxZ1YyWy80jd2u75DnXqiAj23eeTonYqOW52W31rXTLQp
NbUQR/JsMOK0JgY/Wz8pM4myn7s0uO2Ix8bTGssUq2h6Cwketi0Z8jLzIDq88dewDW6KRrUvBchd
0w1DBxRdcpjB3qhu9r2jwKomezOPXVo6gWHqRkfBl76IGzRbMtKiGB2zkUMVhhHvIR2IvA+cYkeg
g4U/F959HtskvOm6YaIHncEl8ZtoiFg/LHM49XixutD2x1ksW2ODeUKw+0TSgtiHoSDhc9E2AI/0
Gg+f8ykOvhNNGlpqvEykyuXs7no6qi+IIdijmcZYlRaeZt3R4376BTqA6VOn9TxDepys8R1TaG9x
g+rhxEsO4fIv0a3JTzSMQkgYi7FrjnqZsIalYb0PgKBI5mj40GTxvHyywSSyA8h1NN/naqU4RRFb
0wzLlJLxWSZLxG/zIeALenfiPVYPDnLZ9B6Mw6n5IaceNQm0z42s+hTMaKmDHg52ydqyoTqFiwNO
3ApVAsid6pn5LB/KZiBrDDMruFisj932D59kKxoITTxp4pFh3yJY3xfaoi2bn4/0u05Jois1Jcyi
ZZsYvHuvi4bHoAdKf+NlvIN4eECXjVJ0UEEgstDar6N1TL5588Ch4xJcJN9j0qqmmgr0+Hn2SGJk
maTgS96PhPE+rBMu0l+BE8ELzpNHPunJKijpAqhwfzVIwKASBt37T+utiAQ34v9GCASUDTOa80gQ
EYSPB3HRxxCvYm0SL61QSQJpTkbX9GZvRLdnQ13E0EHEgwUAoD4qLN79zKT+x8/dNeT/dYqMDDxD
GoLqCfo0XBpBe+0sDERY6shhUXBSyYiCSLAmz0uuu088HfxazE38dCWixiqdw1+ovSIxR+kQ9WRU
p85X0Yy+nTKh9dEGs4AULBzJFvL517ravJWdgqmOQj8cSpD4XIzTTdwPVRuzI4z2JFSV1Pal8efc
r+Gr7f0PqTDMmLfWoehOg5bd55MKo6GL1oWwY64mUK94GtGXFjH1UhnQr66xr19NbaOlgq6M3hAA
tV8xR/VqEPYGpj3OGa5C6uXyG05lVI5crR/f/1qvkkfsDmB30LClW5p/uUUaE6Ne09LhOBK8krHn
NxWM4T7ZCG0p4uiPNRopeJsQGUCevVl74M/zdUwNt7MrQgyH5pQVm9f+GIcuLWUCPuz7M3u1iICE
sC02a3AQpV8ZFvtLLyh+FRSDZsl2yE7SF3Rh5jftIoeffzwUwkOw9CCbg/TgcssXHT7XuGKoocCO
aMacl6OEbQV62rkryM8bs9owQ1DMYZmDsvxFturN7QSvlyE4BjHxSzQyaGqIvHQ5Jfya8DC/PMiw
cYWSBzA9wm4gGReliCCYMwqD1fA4LnFgT+ARh1+138PoKKRUfIpYSJ4YxUR3cm35n7XRA0K6jf67
6TBAWLAPLo63CujAI4bRKbLfPVLwDE9Seo129uoexiibYwoKzYB7oRg534/IQQyat0bh0ZcoBvi2
HWu/ye2VK/HykAEPBVKSAMpA6Q1i9/B8FFyJpkvXAGbgOshPLVp3nGQ8/hylzPbxeLUD4eUegf5l
K7NgM2IwWFJfTGpIRAqXTUWOoMG0+3bNl9qPrD2wgjVXtuPl+m1SG2iYt9Iyel7D0+98ZnwewRda
AL0iNkgqCUbqabT2mqXJ6/UD4wCfCDgv7g3wRM5HKWwrCm9O8+PM0r8HFtz1Km1LpI5PLl3pn04J
kt7t5sVFtSl7L42huJ58+ESv0RHMAuPqYbGIQVsuxdc/uzRw2YLJg1oGlg7coctog2Eu0NIH4mQX
SxEWiVZVG+fhhU0s+finYwGKxN2EIwWaH4hD5wuY5KNKlYnlaWFFdNPj4frAXefdOhCnryzfdi7/
/fwDKt6owLhvgbUAjLyApuHd4BpdePLUDTD23k0ND9NvvCNANNaQZI9wZ238B7SoaMQdDNTksz+Y
aTr+8XwxNsoD2y2CblwX23Ld+GU0WNUp6g3b8ZSNn4IB7Bj0j2J/1lxs48SjCyJ8W/AxUVtEpn2+
tkjRQDRnVJ/MOtH93KdJnc38mqY4vIzltmG2PizQZkDAidmdD0PwI6ShCtWpdUhUa93iZq7RlnMS
FYCW/GUodEBOgCx4V7bOzstdPtFkfSByETGQB7r6x3XJ078CxwaK7wKfonqAuIvXJCRivhlsn3ef
iCecDykWbYoGpuWZnF90ZrJul3Tz0h7N7A/zyxqPnXsJTJ5Md/ASKMgutm329/vf8D/I6/lWQklg
q+qjFIdm05dPQIhO8GlX5PQkQ43QZ4/cz/ni5CcKHVbLdeny6XMSm3F9gevxHH+ZTagDXuLf8OgD
2A5NUqcJicgHLkGPuSejRpPFhMz4VrEPH9BHxYRsjiNgIuBYhSnGXStiLy4dmJ/6+yRB7KkgAPD7
B27x/8KsGoXbXZCJjldT2MHWHQAT816G0OQKxkVL2+wWEnlo+ofoX6RlIX33a0TlJK5bGaIpcdh0
eXKc3DQ7tGuIAgf7OTSNuF9nqflda7pIHFqI/bsqb9aIoQcOGHEQyzaGfsioyeNdMhJnSy79aLlN
JKQ/6JrLUal/yHr0031gvYrSRxy0Tt2tFCZPVeAWCj1Ajsz/lindec+QU/P4Bndq1t7C0Y2qco2i
5Suyd+Pv0C1Ozx8CWMHmJ/AAQL4qA8sQiyYeaeyvZp0BYwASjdFLTGfEVqRpGrVn6Agv6hVpWbCj
2kUNMOA8+4Uzilk7Yv3xhEZF3bhfFboMV5Mm5BuTEr0x0IuXi3JB0yRZuiVdpj0fQ5cfehIGX/Ek
aIXNzrU9+msymhrn3UPy28vBf3btkr54blrk4yBJ4sFHqmm/QlXo/+JDSJ8X4dulHGHAD2QaOnz/
Bt0fXV9G48D/4sBSixoS9+5ZZOv8aFtvhJAzmb27YRnQilJ3DAbCnCO8K2EV2JkqU1rQSiYUznQq
hFfnXSOz5LuvgHDvUKCQwWegNPFyR9Ft/FsTSkHqoI35UBVoYr6yMm2yNa+aKelfdGrQedw5Zm3l
W1V0dRA4B1wXkkw+HWZDCnNIfeabF+YXi77NUuJoTdH+cTq4DgrXW0bi6B9n41V+SynL1RGwnPGO
SbxE8nkq8PCXYMGFXtl3WfFo0RQEzpFTAG+vvyCODl+UWmKxl8EMHL1sETaQf3IDk7WfQGPhx8OZ
GA9+27jkAR1ek672YwPWhl4FPsmyrm32rK3oaYWWKqytJj4HcGpM/XYtR8/A33cM5ZDfa6ab8UMr
PP8fBTNodgxZm4upkhHNxsditpn57gotPsVN2tCHadbdR5cvQfBRO1DjUOhvFsBUYl7TU247eCyD
Q+Lkp6RolqRe+iIgNwQY7q8ZJempXMIR/Y6oN0V+WfieP9+18EDp7pps4i+Rt/ocxA/s/DISC0lf
ZqeK4RcPCXjV8yJ99MCZiP7kYm6GD3SAQ9s+9UffP+RdkyY3bQc+9h2otzp+Ei2x91FsYP8WpVbI
+5awntdBD3UmwKQO2F2ECsT6aKALbl5QHMBplECmgxLbi2WIlJCS3Sc0Nw8JXVEYScgwwTMuIkFR
Bn4v1Q4+n11wJG5p1xpQdntydOzULiRAcneZD1UrOrVqhf6OkS+6Gvg7EH6W8fy77yVrcwtQjyX7
BcEnq9DnJ3xyC5NJvTIY18FGJETzOoDHA8AoR+GwG7mNRwnIJn+YY4nqR5ot6VSBpWagjRijdqp4
2KO2FI9eP5XJoIAxGZrC8C4HKd5Dw9i8EScXdirfJEiRKLsUvamznHBZceaFaCfS8MQchiwUrLIo
mfwInQ0kWg91C0rmQOtElQi6fuSI7dguiqz/QAMUAndRwLsPkPZjdadmsKe58brvaQ+u7S6OePzo
G/ROLbm/Klkts79+71aGQn2ymvwURhNROzYUOaAnBAalt8xm2WXCmF1L1vUzHakMbyP0A4hgZcFw
BjyrbEWndkpwF0ckrT02Z59n8Py7asGzFJSybYZ7pEHq79GEmduzUEyAcMPuKUAp7Yfl0/pt0BP7
Eg6oDVS2YF1U9dmQYuWCRqrahXgeANKgLQLnfvK9sZz+LZrcFdUwQKoPH/9wcqW3Qqdco3Sds1uH
9/wnLs/IlGB1uaBs4zlA9Q26zrHmk28+J/DiKfZNv67Qy2j2Oc88omo+O+QZYswF2K+T5K7sC4Xy
NIu7p7hTxVcX2Tas5sSo2x7VRnQV5Ky74UU4BvUs4SFYRTJc+zIoiOO7QtjwWyDxbFUACbCerPAo
/ItEUSxlYgGagrALosnBoTpAkDBmkduFaC9VVAhRVjBcwnQytYSE4pYsAkp2t06AqbiYSqwq1F2L
GdofMK9U8alJg7GphrQFW7dFivGQNBAY7CIJKWbFeZb/yEIT/pXFi+/B8H3IUIQLgXWNq+otOG3T
hAu44x74tgVJkpoTN/Ul3OFdUkKiav4hI4g6gJz95ieckcO/iUsWsZP9MH6eJosC7GSy4i9Jl+xj
pkfJ9mxa5R1ZR5AB0ZpohM0wgoL5hvUtqkJwOM7+7r0sxN+6Fm5Iax8xWnc0mO8hqB5kPSI8PXpt
gZWBwhPvb55Z/Iw6tprXI03wYADC6gO8Z+2cl9gh/lMXp+ZHT/F2gx0kQlURjcdn1+Xe8oQv5z4P
vU68MhDWfAzXrulKmwHDLa2l0b2gczbviq4XuvZB2hrLFtzxZa+gxfzcRjGdSuGgQd6uVpR0UXTp
cDFMwsgdmKTsg3UDnXFrWPbsxwKdvpE3JKcQj3sEkXbWJWXvSMr2qRr1R2ksmm3hUUblAE19WFwC
ccFFMwvgZc9WKbUDYYbIWuY6+YjevL0qEXxGsprdkjzz3nO6zpzr8/3qxW1WorYSffFWnBBMfUTD
5rz3209ySYdml3sk+NEubW4riPInFD/IClFOMKKCe2v7RX31kOkkOCxBgXNLco52Uv+HtPNacttq
2vUVoQo5nALkgBM0CqN8gpIlGzlnXP1+luz6vyGIIoraZfnIZTUXVurV/Qar1fjC0jT/0HL8KVyE
MsvgCEY6lX3amMiFTJNKTy+NoyZ1s2jmWq4rHZ9FHe+g1FPqonqgyzCnbjNmUeEFAxVcL6O8/aGb
y5nmNnD1N3XEuqWwbdS2i7qTnB7apbZjr+oto/WXnm92TBc9aTxHj1FzmqRu/kfXS+NTE47S15z2
8btCd4aWXtnQdG7jmEvpFuUwc9sOaY2WkNz/LVM/czizW+1zVQMueJDlQlb9aBiqJ61dgK/DH+TW
XBqdNpIZmDE94KrIX0i8qk95WrTfjABhS1dTsuF9EBR1cUc1y3rJ6lH5gmRkbLnDSJnQhVhDmpvk
s/RiATf4MBST1bpOkyLhoUwyzn5qpE3Skfqp9rTEutUecmMZE7cclgLPsGLhIzVNTfMiMMxgEv3Q
+iElP+7fxkrhhC4vzfRDInf2eDCQY1ROS5mNiEKNSB+yPbj7PG0w1V/qzBF4QMxv/GY6TfBRuD6V
nOnkVG63qHHp6TokNldplVr1eaGMElrCE6Kap0Szu9jvpYLdCAYw7k/VYKTjz16v7PkNCbguHRIt
GpSPwTxZts9om+BU12mPX3uhIWI55aHJhFoGFwHc8Cb4Brwjmt+SOCTlF92QGulY2JPeeL3TJNNT
BV6ufQ/32awPpjzwSqtVPdNLVw9bDm+3L5POPpaYwude1LRR+GWqkppmOvfJTzNwluAzXPuRlk0R
SMWxk2XsiKMhbTpIklwjb4D16fUhVBvL/hxEPEfvtErt0KO1uzp96EOTN++IrMZyZwapaj/pNPi6
H0Znt9JRtlPVwY4SKfGfEOp6PoEizYCVigrho4Ig90ECXeKbUdjB9OyEobTcL/M8qveKZcxfcKtv
m0+6tShV6KZQnao3OeRZ8xlUiP6RMpQqHflICRKI4RQUvSc1Q+Lc98HgtI9mW/PSGZnN/r4ZlSJ9
HCUls90WWov91BhOoXrWkBjmXZzS4uW6Lkk3YX+EiScnfTWdSCKskQJlVRUHhafV+JepGpL2WVe7
GfAED1v7ySIB/VSX8FREl7PgsiwVXh+JXhY82qTIqr+G5O7hx14KBljqEs+X0kOjvy0/G7CoFY8G
S80dF8YL15MuIyN2rKZBKn/MeQ8lVUnnynnUea1qz1k2SJlfzWo00ZXTC+k5UbOKlFhpdZUlH9ly
6BynuJyy+4LjcnhWppzUT5Pq0X7EA2B0loOdAwL/NGpTOh9qJXYQng2M0ngETxM3d0nuGMsJOpFR
+AU1quJXrsZ19L7PlH5xQ2MIELuHo5vfFYDWk4M98oR9yfSqndGlmS3zOU0rqz8sU6eNAsmwzH9X
9QTSz52K2c4RAyj06AgC0rYfimFK6mMZys2HppVKzacbWfGSsdM2kx8wFIulZ0rPCj90KRoHz505
iUZXHnKnejCL0tlzCLwobv6ugwDFp+Ci0HJd1wI1SH3o4OT3cV/0xyIMAo+N+4lCaHt/vQCxFckS
PstQg6kNr0GWWmzLPfXI/H5UyuiNYi3fFium4NHMX24PhFQRxBmoyELr+ry0E+t2qcgc0fe0T0cv
CGT7WFDP8CJoVXfXQ11WkWxcPFQD9CMRqSadh5qmlCwZc897p3CMN9BNHEzw2s9O1U33nCjaEZDH
P9dDXpSIUXADrUqBnQI4FMhV7VEmoSp5qOb3iJ5Yh14Le06OQbt5sngr0Xck6aVfQI/ufGCpLCEF
kljF/VJncezNY5c9RFTK5oOGNMFOjfPyK4pCPuw+UfxBcmK1BkMDrklY8BoTtUz7IJklShCN0ren
cGlDnn2NoWQIADlzvhN542PSTECXADIKdcA1X0NvGFg69eU9XhOAa/KGwrTb1bY6Ha/P2sXiF51O
9hiaVmKnXVDSFd1cZBAy93Mwz66OmeYDLvKFJ1G43Ql1Ud2nbgpjjDuaQi17bdUdQWWYsogpz/fz
VKr/4A1kenlfml97W6k5EathpxsjKqX/KytaQpBHkTEMFHrX0CTWtGol7+HqhUnmYzYu5y91PpfV
FylxEgS3MwASbj5Ii37fkrREP8CiVHvg//NJ/O8HQCNiK1LY1NcKy6j10j2fe+Q57Nl8kJO2etap
5/rXZ3ArigJlgiQGXi1slPMdEaZSqsc8zXwymx/6MqMgp0k3m53zLYVQBuxgjT7ZWidMS2GjGKWK
XGjFleVpga0+oAEelDtr5Hw5/vvJOERgBwuhY6oI54Mpeb6rEVQ5P6Us4k3qrD7SWHDcNq7TnZNk
87sJSgEkGniQawEvFNglK2rH3OfNiudpUpZIeNVhWIanP5ggEBIQMn43xVcTNM0F9dwECci2rIOj
FBbhmzKS9lb71nAooSMLTUMGrbDVl0NdOZtxQ0YSFK9Hj8pGdVdo1m3sz3/nR+XIUAB+0HVfk3VR
VGkLTUbyNB7y6NkIMXLHN5Y33E5T//ys+C8OoHOYmTrsKmN1VtR1LSlUEgsfWxheF7JeD4cY6Y7I
C6eKHHPWMXO66cz9NyZdCERZuFwY3OoL6m1tg3BE2riVVNmb+ng8pnGq79zMW/PEXy/UhCE4qWvS
6WSAFbfQWPflAaydRKvHHelm7IxlhXb/bzC4ocFgoSPIyXu+kRYtLcc+7Aq/sfqn2cpnT0JyrSzG
FzXsPkpd+9gP9AZQHiHJp2alJc7OFG4OFCYyKx80L2Cr81+QtFOr5clS+JqWd0cKKTWrUqp2NtfW
gcFVIpp/hoHUpPjvr7ge+WL3AMizwoeHNN5VfdU+VzV2cwgl3YYh+PeTsrUEd+W35vtqHxvqlJAn
NIWfjJXp9o1puRP9wJ2Z2xwQtDfqLeAxuMHOB0RBa05mdLv8uk1tQxSJ4+65DOc+eJRmo/j79rNJ
p2MMVUbAP2znPNqcyilGIKC04XJ1bjXEzVNVaPPOFbU5pv9FWcsI0+2sWoXKgo+g0HC3KGQxFJ1R
P+qnvTv3PGX7b5IQUkUJD4EY5OnOB6TlBc4Uelb6Ksiq5zyuu8ktrSBw2yqgwsYD+4VtseektRUV
hhbJryM0QtdrPZu1dIlTqfBBxOfpsZu6pP1YDtny2Vxy5/tMB71xp15W6p0cZ2uTodxowI0DwkOS
cT5cwqQSk8b8JeCSYzz8BvpglJ7/YDMjt4MeBFEww1ytSgAlSzdZY+k3NTo7WRq2x0zt+521v3lq
cVxoqCgKxpu82s3YX6eSpQ2lj8SF8q6HtHwMctDrtdPSAMzD2ZviUb7PKmn8pkcI6ZfLMKP/2lk7
v2RzQl/9kPUyiuQag2+cFvJ5+BqGI40ER/pAr+BLB1rfneLp8+0b0QSXChWcLAuFpvOJ5DAYEFVk
I+pVHcHakOkdtPWebffWcoE9hvgmtoQi9zmPElDqN6n7cPno1uQBAv8mQ9//g93+OshqTQpMkpkU
YekbahwcR31uPQWN71NjKfUOE3pzPELbkDGBfV0zFzGVj2MTACWNOcn5hDdBSisuSHYOyQ1/KrTK
XoURq+XVJRMiKFwpGbts6McfymJ6ha2+oOPx3ZLbYy2FT13bv42mzg3U7jnTxkMh/VPSRby+RLZO
UZ6D4jIn+yLRO/8VpjSrpqSU5CczNe/EGcp7ZUirh37o9uTCxPJeP50odrEegYvy/F1ddXJfGhIw
sNzPtO4fWRskN5GHe6WYPidQDnf22mYwRPtRBgYnhWrj+bgUc7ILOg4FWkA0LqA9lVJ9P0rWUnhD
EqvDKUnJy/4gbxCkRvJieLXAVc+D0oexu6aahSnBAtHDnlSvzefwGNLI2tkPW4tU3OawsmXgX2vN
rajL1EoH2O7nU9VK7riUNJIMqxiju9sXCHISItuCbGKtxzTT3dAyIyn8iZzhfauPlHm6svRmbW52
5mxzTGCiILgLM/D1QR2gJheBGS18+pehqxWhdGcsmbEjjrm14rnbEOxDmgobmtUroIlQJpzUtvDT
gYR5mGB8xUPfHNtcWnYuuO1QmN1RQAR3ZawuuKScu6xcqgJv2LrQ3bDGTJ2ucD2C5Zl0bJquT9XG
9+OjCV8AgGTCtPh8+clpHUWa3Re+ngac+bM6e9AClp0n7sageBECj4M7D/pwfTwq4zJaNl6RGCEB
NnGNfiyr+7YvNRUoypTubWTxo1enBtxaZIHRHaBIcFF0BM+Yo3Wc+EsaZlB12sEO3QitpMoz60DL
nsvKMbNTTRWoOWlBZLc7O21rvFQpOEQo1wmJ2POvGtLWiBIVaJWcz/27rpmn+1iy7JNK5nX7fc1D
4HelQqCXtdWhRVdJUiXYQX5tKHl0XxdG+YWzI9pTP9gYEsU5jcoq0GI4rasbezTAeVkpVcZuzpSj
hS2MbzfwvZKQruvNa/J3HVBsNRUS5WpImTKbGUy1zJ9UgxFRez+VyDzszNHGyqdqK1wBhPwpLJzz
OcpVEyRDQ5Qkq+gep5rh4X28p82yHYWMFfUN9tlaN13vJ9r5hoiCJ/DPYpFyz0gD65/rX2xrcmiP
cIE4vJ64SM7HkvQmcgYSFiJB7iQv9C5tzc3Upr/PaK3tZPri6682F0kbuSFxcDVbM1Nm8rl+HJEO
A1RWPUVFwxu3ZCbvamcIjp3C0xD6R3GbcNXv95QpZG7IxdGhoPB+PsTREh6UcYorUZaMXptUiVdo
aKpV2jQern/NlUbrf7GIJIqZMq46IlF4lWbVWlG0A0pPPDKUvySFfvtSmT+Govlqj7nlLhhMPSue
vnPJbCwVyrO2RU1GaDmoq0mEkR8n/TxRnisG626B5300tcbaSd7Eb7+YPhIOQWBCP3ldC3ainlr1
0GR+bC2pKy/QtOkA3scjBTRECf5gL+MKivYMlAdWzboobPUW7XNHTX3gneU7Kzch4uaU2vbaB1sf
jzX52/XRgV+0usdGbDttvS2x7pHC3sUBt7zHtbC7/czAFeV/UVZVCklGNddBOdmXq1I72UGQPmpm
Ou4pEW5MkaiV/Xa8hRuwOv+A1FUoXqKm3VW8pdN2rtzY6NudVb5xZoiT/P+irL7YYE78dCXjzKA3
7plxaXoJ4MQjeiF7WtOXk8NRQQ1E5+oXpefV3YEfTixbman5STlRuQ9r63OhTfbP69t2K4pDdouZ
KSkN9MPzXVsNXRTOY6v6Yc4SSBatPcYJqtLXo2wcDhDlsGBRWNKQNtdQf4ipKDxIseKHaHIX0owK
QnE3d8BlYrnyUzV5Y+npqTXBbQx7MjyXm5fuGGVvU0fcnkfDev2FUYmvt6ShZWAjBpF2WvpZQzob
DY9cLx6CPA2NnWWy8VWF4TJFTe5Ik/LO+VdV9Z7nV0hIfG26U56n0zFfom4nQfx9D54fS9Ss0Gtm
YLCjLta87SRh74Aq8J06wbrYEVmZl4U9usBRmBfRAVRT1vgTDIzE7xIgcAct7QO0GEYtS9yxCqXZ
lSOAgw9lpmjSKRrKVAaJpKbNSQeEGh5xr28dN7bSoXlMYrn+EQPj+mcAappDeZz4/3NdCVqX/LeZ
AcYUALJySheph4ZB1sJJTpr02JZa+rMyWlvaUdX5LcG1+gQ8dA3mlnQEucXVrdOTuvWU7yj10K2D
Go+EdXgv1UY33k9dF4aHFNfi0auXMX7bCY14bxyX5SMIG1M5kBaEWBYrY4aigFak3aEFJ6i5lCBD
5TEYSgtB51zr9J33w+UpgiyUYDGTDcgalLPz5aGD0IjDwKGiOsvWYws8A7TnEN3JAkF5feddrkRC
sTzIAAR7bl36MzrctQvU931Lq0Fy9lg7NEPe7NyP21HoVQCPECrtq/We4RZVTY1U+mbWVT50ke45
Cna17DajwJ/hmQdHjxvl/LM5w8BjLrYRJQlz52lG4/QOG71gR558c3KEni08QzKZ9Vi0pJKdZmEs
RUrFskRXH4GLYnFzanyH65NzmRUyOWAaOeB57tB+OB9Qhopd3S9lhUBZ1rwZJll5QXmhP4bGOPuN
EmjgZttiJxUVf+nFjqGOQfeKewV273nQKq9nFbu+yh/GSX0xuZxPbVuGz6i2AloF0HrXl/QgHUsy
TteHu1Eg5sksjmDMhIGZrAvttWO1iLlQiVODLKtOaYt8kkf7m1rK2NXtV90IjG95xI45jYPcARDJ
gsQ8TotcW15LC8I8Xv9Fl1cDPwiVLCAGJHbUx8+/RYemxgShvPSVZoJCkzsBJuxK0X2iUJbdjVU2
ff//C7hKV2UlClQUp0tfttL3PaIxb0Ngzh9kI52fAUntrK/N4QlfXhS6BD92fbmDR2uanuFFadF9
ALLVv9flwvw4yP0xyMZ+Z3639qdKHokencD2XEA2Fj0qiohjzR7K4Au47BFdp3jYyVi29idJETVd
JMe4XlfrF/EHzQ6gI/oKXcJjDL/gBWU1NKomKfx6+2wJSjUJH+LdF74LQVzpGP7ahGqq8ZfT2MVJ
imTH5YPbvj2F+U0C6+IJJQQzoY9aFDW5zcQHfvWEAv0O6jasS7/KzexNFViqBwoMnLScGDu5w9bS
ENgaiqckZQgznoeS4mCQDJvae0RXA5ShvjiT3+eWM7mVM1jhg1xKTrJzW28tEOrRpCs2JwCq4edB
o0BS0y6nvZdrQ9u6TW411eMoy3Px8faJI8ngSEUOiW292mZSPo9zn+YVSt2weVIzDD8akZwdJJh4
R8Crt4n7/TtxyF5xndu/m2yriUuWpQ4GlY3WUEv1crpEAKEVszzk+OQ+zPMw7xmGXc4ftznrErYw
5pbm2jA6mpdpdgqxNIuudYMaQseixz97c/7Uz4W8k0VsRcP1ioNbqCUii3o+cUDKI1Cobe0Pi1ok
ntVMxgHtWOuXIaX2pymRzHfXJ/Byk7M6RMMSlAqU/7V6YRWUsN2kpPG1VtKPeiu3H9pqbA7RGA6f
rofaGptOqg4pmLYzIiXnYzM1IL9JAdmpAh31EmRTl+L8JoP8VrkR71GbavaUQy73ARhSsG04fdOd
AVN6HrJuFkuOaybPlNL4aEx6Csx3uU1KXCxKorC/6a5R6icJPI9CJi9bUTJVsCVNbfClESZFXkv2
cgg0LdmZsK0hiVc+LsOi1r/e2oWBGNZA99MH/m55AeL8hwb7p5vzTKBer6Ks9pllRkOTSGXta/CC
8DiMNaGNs6cwdJmWEUVHZUWh+MKiECvm1TE86Uvc1NPEaoc1dY+2kvKlV2L9OBpN+X6WlAZGaBFM
Nx+ORDV+90IVIBDG6syKRrgnUlbUPnIQ8HqUwTB7z0BFuT9cX/Bbe+t1oNXRX2qhlupdXvt5F2QP
JQZmxz4uh89Op9s77/7LXJMx8SIgw8I8Camh8y9p9bAxjcGsfANR7/xYwkHxJjD2h0KR6M3odm/f
9Zme+taQLzvZyOYsCi6+6HMBd1sN0xywutbCpEaFzrjPNfnvsMK2cZo7v26Suzi8TQr13+2GdfP/
xVtdbn1vOUtcE89E8uKg2/HspmqwJ7Kxuc+ElAEacuCL1zcbIpv8YzF5cI3wxmgQkuthqN/dvkRA
MTBhYKWE5+tq3uIFbXJEh/yi6MMT3UKOqlAZXhqqby/XQ20N6HWo1SnVS1o55yZLBGHQBIYFyI3e
y2s9+PgHcVChIhsmwwKdej4kxWgscEx97Wc8zL8BsEyFKx/sneP1OFvXCakHkkaAbmkNrq5KqUdB
Ltc5ouSynn9K/ZxRu8ts6ixmbflSA+t7Z5Nt7WcyCrpM6JPA/lkdV6FijtmgsiTsPo5OWtEYJ70M
p0e1VY0PNw+OjjuCwpzzomq8GpwVB5qM+GHjl3qFfaGCtfJT1StLcqDP3P2sywCqwvWQG+tDGCqr
IFYtBOXXuM4evxV6ROD28nwyfxSIyIaurUsQhK7H2ShRkk6B2BM5I0+h9WPckntOIn0qfCntnQ9K
ZcbHxo7rR12ugyewBvbntK2TO30ybR/YnfPZmCVId9d/xcZcCqYC0tQIKl9qVIUoPIBvBXZpZkA6
I3y47+YhRNJSCqzp5tcGA/5frLVyVBGYiVXC6PPzUZO82UGtA2nhEvFQY9nZFJvD+t05EahjHjnn
m08r8tZK4d36qEp0p8bo2ns1jINPQVQlO6PaWi8CHyXeNgK9v7pGNdxfsiWZS7+P1ZoULig/TJUT
3dxtQBjoVRT1fEBxb8zoh/ZU8PrERACunL4W0mDvbLfNsQgmFaQcYKtrB13EjFNNTxmLYUEwryHV
H3trVwtoa+UbmDZQIxfPCRb/+WCwuKB5orLoYOZ+nGFGvldp7tJ7iNzeHB/qZrwbFWlC80LyFq3p
di7qjVESHqwSaT7I9PVl07R5M3ct61DKhrh1IS07Bz3rq3rnJNk4mcnoIFuINwVCNatzchSGsDZi
Wz74r8h37KWGPC7DY6TxCxc963YW/da4EMahwGvzTUn3zz/rCAeH3NwuwG0r6Y8pceQP8rxYh+sn
xl6U1eQhPW41jRkUUImD6tiP1YCERPPP7UFgbSEVSWWHPutqU/XZhHJ0aBW+WgfqUyEP5pHFkN2e
3ZNyWBz2gOsxZ11FqfNxSLKCo14BifKIsE/0ZPSTuZNwbOSkQM2ZEh5fFJPXekXISJgxBUWw9RAl
/kqTZPiqqJnzfejCuvlglZrUeMmS2o9ktqPjX/+QW2sQqhYQLzoWvDpXayLQB8sYk5wStqM9Fgty
WxU6Pqrafy1bMoXrwbaWBhRCCGhEQr5sdUhZOH0DzQOVGudp9QgfWn8oWiUpb7+zqF6TWpEXUEld
N7tgTg1VNCQUUYto/j42ku7VMoqHkRw7t7+RKBsxdeDj0BRdA68cZ+jxa2Ox45+Tf4f+o6CXirL6
9e+2cVtxGBJAo29CdUU737gS2t15kmmsw06VnhByMpDBH7TnvLf3OIpbU0TJyKHEAa0OMMp5KKTb
KSNqhNLrMj/kY74clnQ3QxQljPOSP9U26r94Pwvgjr4qcUQBPnoRvEBIZnD2JwddLM1yqzZ4a1rN
37yq4SiG9L2cObsdyiBCm4xP8Dy0tdu804WWElXMWIXrn4dysvpd6sN8Z09vfsZXUVafMVykaMka
BphNBlrvdazHaGbl4U71fvM7kh4C0xTH01rhsKhngAFVStEUOwjgBfKMyFZWhXdx1E/vdKSqnk06
Ng+ZM5A36mZv76zMjbNLlPOprvNF0QsWK/dVZaIze2WOIghcUxo7b8pQSY4D6knv52Y03xRxFh1t
q7R8/mdkGm7eFGBSKGwjRIsd87oEGGExEbUS8NTOsZpnFdLY11yZjO9lbPa3n1ucjiCYQYXT211D
2XApQCFcisGMOqZ8RGesfJYT1fx0fUAba+YsivjWr75lG6aRhr4PwOWqSR9DuQ6Nk+lUTXj3B3E4
fDmvkCYGxXUex+njoU1rRpOPRudqkD4aN52jea/WsnFq8TTD0ExmioTS53mcqpJLe6LR4/ddeczm
Sj/aY/KlqsvbUUNCRJFDC8QQsBFn9eEUdUFMJiNQHBXOY9TWb1HCsnYS7K3RIEAsnN0xTeW4Px+N
TRoQ9wuUVU1mK3VV/9bE6/GQ98n86/r8iARpdTia5Gf8SxGYx99qftBpGdSyVYhUDx4aQ0gVaKWs
HdO+63ovU2x0Zmz02++vh91aftRmBY4RmyqAGOcDREK05yyJcz8xJ9O1cZY86Gpue7dHgTLFeSVI
drSyzqNkC3r+kgV63cCax6s1dbyL0efYORu2xkI5CjytqoNDWZvMZT3YFA0lUd8OrcC16r58N2ph
+uP6WDZOX+HX55DRsCKohp6PpTOzqgLTQRQnG56kuZONowE5+CtyQ6WHOqT9STLC1DMilPNdu8bi
5PoP2FiTFLYRoQQCBqR9ffpKDfpsKKpxYixwDfIeDlyqDdPjXKMReD3Uxhc9C7XKExGXTDSMQgof
7p91sBvrByJhwR8FAaOkcp2J8/b8g/a5XmUd3SI/VrMaLHv7Y5BD8/QHI7EoS4FUUilaro8lpVXz
MeTOLOQIoBLGa75Cln+8HmVrahRRrQTWzWjWTRwt13I7TPheLZIPuDXEmHkMRtY9xY00froea2tu
/uWds6kg7a2eKTGiLe2o8FxGLou+IqZCroQwyMsfRKGJbgh4yKWtfC3NTQUYg8U2JrblKnqN0dIs
L39dD7OxqQD+8foGAgh5R1sNRu50ZIxwr2FSuvndMkdmjyZZOkJYRUULsf4cfYn54PRtXR/TKOof
B6RNMX25/jO2viknIV0PJE9Alq9XSYtaTTkGub9M4V+4bynPthLnO+/LrbHSMRWucqCFWY7n6z1v
ZfCNGheX02N/U0yD7YXW8NkwuveRqj1pyfBm6FTsNpRlB6W8tTyFeIbA8pI5rtWHR0jUg5LnbOfK
sA48x+Rj2JVgwOs029kJm4P8Dfim5wIuejVICP5LpZjwsQKj+1Vn06Fs0aexnODrYi13Ujy91Xrt
G2YMO7tiIzX93ZOgYcD7llL0+cftcCaoMXrM/aBoa1yl0cr8ptVq+2I3UmO9RJ2cIBAFSac5UkyY
9/z8Nr8w1ygoaOotoIzOwyMGIsVR6uQ+7BJ0C5GHwAkFqTQsleJBda+vVjGWVcrAhwXhKXpbJCer
gzPWy7S2NHJhBbU71MIKDQehetCwEeJpjxawsVed3tofYnuIwgFP7TVcA8tYdcmQ7PanUsg1zJIx
HPJA1rqdkW3G4bGG+6i40NefEQpaL82SnfuD4hQvuTksng1W8fYarQUGjBcQr2wheH4+WXpfaQwH
sG8ZQ9/Dd7F6CpNJ2dkJW2MRe45kmPuabHUVZWmjUu1YEiV+GYcsrkLf1lPrw/W1sLXwXkcRv+LV
MyI1W9rsg5b7Tuskv8oK8QkH/bXvWTDKt7+LcAymfASNBK0raxXKyKW+oo7L5PStcxjrKjwsAHZv
f6+gP8821miCQD8TA341IDmws7Iw+Gx0dNNfZpUHrlna2t/XP9vWFqKTAdOfP1TjVpND1SNauFxz
H+DMdwiWH5ShdbyskdC4nPaQEBspPkOiFGaIpOpCtQNGgGzjQJ7789A+R3YVvJFyc37PhWi+wBQA
5KENOxfa1rKg7oH2icJ8kWKdf8V8rCzJtKiY0tFC0bLPDJyklMUTiOOdPbs1OioSoOHwvCHDWl3h
kZIOdYhmr4/CeP8SK02B2BR+dUcUYoMvHZ4yR9REbt5dLEHwCg5PCyLD9zkfIBp7UzRabYFqcFu9
1dLcwufZao7Xl8nFHiYKr2bcJKhfCozseRRKSo084+V16m1typ7VauyWd2hsZ7cJ1nHWEQjEjJCQ
wwAEdM55IGkAA97GWXaCRNfAU9Ujt4tRq0zSdu/22BiTkAWDDAEWlmxntfTbWFLHxLSzUxL0ju3K
pCV3zaSpt+4wiqS/2ebIdqHluSbE0E0C715H6YmlEz0UoxF8m5Ku9XC0NhovVczqcH2uLpY8/Tba
K4QioeQcWn3CqG8nA284tJyjqPngSPL4M6jH/h72g7OD0b5EEtN8BtaE4w1vW2qL4re8OqQKY8bN
IWmSkzLB9NUmY3wcEnV+O8xy/60pNfuI1Jzz6Axj+1hUXXrCxjF+FwJT2hn05WRyVCI+KJRymMv1
Y2DIjTYw8pxBj3n3IHdpeRcnibIT5WKLU8HnFSAoJTD2gC+cD3eIJmPoKjs+NUIovjcm+8PoDLOH
1mX/VzPJ8zv8JuSba7ciKn1UsOIUDNmG51HxirGoHcw4S/dz89Jr8vShocr87vqy2fqCxFGoJGHW
fVF/kcaEG8fA77lGDM1L6653a4oWO1/w4r5hLCJ/QkqODQ7LfjUWjFWUcDTiUzpa+btGi+zALZxI
z4C81+Pfhg5E9Pq4flubn2WJhDR4VyO4hckPC/U8ZJwPvaGbVXJa1FSJPztSkw6uqTSa9laicryc
7KXSck9LjHzxemuwf0y62QQH+ilycJQrVF0fVfr+kq8xxbrX5B1CxUswTJnbcyqq2C3O+NG8ldEL
l2tXKLRKL4HudMGzMjrj+JgFQWk+KF0qxcckiIfm/voQL3c8GRwtEvE9KQWuTzKe480ia5HkS3ie
lh7qMukPpy5CILdW0n67HuzigSHyHjaYeAujibl+4kcjEpE8bRKUSKrqzlq66nEp7OYtlpoDYrmB
/AvfFJOasTP41yNfrlAD6ImtoOcElgzky/lEmqNSJS0ixCdFyuyjiSGsDyi0uPUap1EizJmEYZiQ
GFutUAPtXFNpTfZ46CzdI49ENb2D3dTWLuB+Badjy+mxDzczkHQ3DpA3E20N9iD7T+z58wHmWsjf
HUjhyZFM/MrSQVIP2chle2tShJscGFuRgSG8DHPtPE48SbFpYOJ6wvnHfke5CMHrLrbVu27owBBd
H9TFjicYlQRB7YC4CyfhPBhqm7JVYbRzkibl5yJ10Lpm5Xl0pLeL1OyszYuNIGzyuAAQ5aEvQ7Tz
WI2z9KWE8e+pVIPmiMuJeeJorh/RsR/urg/r4iqg9AkwCEkBGnnkXqtlEiBCK2MLwUE2J0ryph1j
w/gwIhj9o7CGCLOGXgoXt+isfKf3ujFG6hdwr3gaAhheBwaxrOaTHsWnoR0Uz2w4p4fOTr3Jnvak
KC42HGPk2iF3dsDvQ/RYfc5pjGg9sBVsZMy9Nq0aN1CQYb/+JbcGxLrnBU+bV1TAzqOgNqfbCyr9
J7ip0TELJcaiyclxScs9tP7lgPho8NR5u5H40Yg9DzVK+LA4sx6eqnwajstsKx8yoYh+64DI/i2g
ExxT1CXXHaAcN+WlsSPVz7o0/Suzebc7WpV8Chs6vtdDXa5CQiGdIOQ6aCn/pmW+zr/I8yocnlSu
JuNj3oQPuDl9KArlez0Xz21T3by/dAHoEqc/x+MF80+Oqe7CalD8KursU9BPi5cYavWQBeXNDG9E
q1Gt4TmlQ/TX1kLIDcC/CPi/4suF9XHB3+kerHnqKhJ+Cte/4eX64xUgPLPEK4BjcbUoephZ8JIV
xc9mDBpmveo9szLxsLHAWV0PdXkWEooViJYuUwYV7Hz9Fc2cjaaNeG0Z4mDRQ4LBkvKnnUgH3Lr3
2K0bi53jVtAbyIlRIF4Fw3RVlVsAZX6LG+dbOR6Sp04u553duxmFBzqUX16fFxabCjjaCk6P4net
OT/HaOQc8TbYe+VuzhEIaFJHoUqzBpxU8LcHSsmK7xTwh1w4u5T6aieIf9a12e51VrejCUE0IFbc
J6svF9lYSWN0r6C0OFpYginN3WI41V1W3a4lxxOUnI3EBmFbKsXi877awK2G6H0MLMW3o8Z4jOsi
wfC6uVndWEQRDyMEU2GjrAUm2hhbKCcx+HyDMt4jWN/fBUvd7LwgLg8jlhn4YEitgAV4fZ6PJQrq
yQ6jVIWdJEQO5VzO27vFMvIntPwLxR1yWGdugNfbvLOvLifMoLMFHBpEhNBvXr2Q0ECS4qTRETFM
QucxR6TB7SbHfoiW6mbxP+4oICcCxyXsmtdEd2maAqvHfdxvGvr7it0ZnmLPw827SsBbWBBweCgm
rVEeQD5l6tjO7OdhNrpW3FVuls/zTg5zuXcNAaARU4WJJ9DI8wmronyZDdzwoPFEI74NinqoOnuv
dnTxYIAADtwCwVcFtjhPv/MomJvZTptNE1QJXXu0g8L8R++VCtePMv7WLIt9aCOn+JqV3R4H4HJZ
cGLAUwdqSr7E++g8siyPkJjhvfhtODWnfAgX0jLcGfMquRkRJA4n7ipOKHRCeCGdh8qCxhojqPB+
a0OJhZtr2C79cTxE27b2MJyy7sSPyb1uSpSv12+Vy2kEIUeWTjLKP/w5j62r5YL2W2xygSnBrxje
lBfiVfbr5iiCGCv00dHvQHzlPIolJxZeb72B5FRkokiGt/enLqn0vdbHxqQBbgJYJUpLoNVWOXzm
YA1Y56HmF20kH2G/Dodm/n+knemO48ayrZ+IAOfhLyVRJVZP7slu/yHss23O88ynP19WH+A2SUGE
9gWMhoFGV1QmIzNjWLHWjCYX2J7nThmvo0DjgbQWt4d4WdZLkvpyDmU9gifRioLFnbUB8YNCno+K
0JsP9NMOQhKKyoqYm9t8oLTh6i0BU900hBtPShTpl4gpioNLcHP9/rSCkhqQDOaRCHHXq0E2ZZmi
BCtNkfT/w1yXlV6TIByas5yr879DjjDbLZ5t4zmZBagTxDb+YnhzwEOeFzBBZnWrYHP7klEK+drR
RHaf8r83Kzp+LFovgkF/s7yyY/p6Mor6VlgkcwX6fC9RI81//f9Z2axFsuqqbPO8vhl6v7xHe9H5
lEChUR8sRvyYX2pSPxfDTB7xknDALbG4Ogbl0s1pfUui4Z3ZjV8KVnYyeiRppgq+v+cXxctIG5oI
F8jMZlF2mAVL0uXdDXIyfULiBqkyV50XpGsfG7rngkS33ITYooqxObvgtzrNQpEOktMWIFUhwRtB
26+c5t+ivh6K93IQhdVFK1R9fnls+s6OGkC4ABXQfgH+tLmAS31Idapw/a3tgCedBhloiGdNOfTK
TRdoxt9pno0gvB5bvbNgnJGZCdiFaENvmfxLU6kXgyflliVIh6XodF0tIoTYJVKUT4FSJ6+2pLfV
gdk7FwoQLE1T6N0KSYRNYr5MDdJHyIGh9SuNqtuVTvyaR4v6+fHq7poBYyjaS3xSeWPG6YsqdVB1
uxlBG/Tu0hKTfIviOTziQrlrCBApBXwoqyk3rK8uiJ8KfYhNzvZgxe4UQo0nDdOTsgvi0NEqEz0m
wY3Be7220syVSlEmbW6aWr6bJKt/MZQluD7es020gxHG88U9xSmgXL892WlvqUE9t/VtMrr01ara
v/u6pt4c2vmrjSZk9SkIAyM6Z4VaHnHr788AoDwSdCobzIjwTq8XWDpq21F1qm5JNbafqyorWldS
RhTkMstCn8AIkVw8cMX9CSBj5gUVkA+iu22ebpi5bI0a69VLApFTTTH/c5Uz+nKpsnG+6dbQnel9
dn8/3uZ7S0VNjxAZMBvDy5vQrpG6mJEStbkpNK6bqzzNIEdznTAMwocsVt2+KPX54DzcWSvhFRTW
XDDk79u1Mjiq2CHc37c5mZoPKGD3ym8FxATZe8mB38plSkyKX3iIneb3x8vdHxBRsgXrKNyXytXm
gIBHMad2yMtb2AX5ayDlOR2M6slJKeG71GrBDNHGJvvYykIxHtiY8ziWt76e0quk1vWnsauPWnV3
Pp0Yj+V5sCA8s83NpwNnbBdJhqqWDF/Yq5kXzr85c+9n0kok5mQlrw4Co7ubB7xBphZHOr+tmNp6
Bi5fVcsbQpEp3Gh9fI3isDk//kSbuPXn5hGccLG8kcdsgkkGUwy9S6ETL00UJ8vQ7NGhA7KnlcFR
GenughhXEQhzbpntvdzIgaIxGMMOjkbv2f1Y3LRsOooa7i6IVg1zxiCKd97OgxopgCdKJA2Jh8K4
Wc6DPoyfxyZuvcd7d9cl+D5izJ1S3LZUVSeG1TISU95UVMhGN0eR1huqCeIFZTasd0pQqc9V0X9+
LaraFDLhpAerv74q1bAkTkWM6TZpqfWnAQm3W8pW/Dl3rPTAMe59Le5H/IKROh64TVCEygPCVfKM
Y6jKcIHpyjxHALoO7uF7X4tpAEb4ib6EAsJ6Qa0YFpn0sLrBm9p/S7LG/DyETuuHtXw0fX7PFLh4
DhRHFQjnpjw2SJ1ZNxmmIlLuU9im/WXuCtTF+yJ6eewY9/buV1Pi738pj5GbLTUtPxT4tKQuz1S6
zeRcEQgePCf37IAA4UjxglIM2XwjpVAWZVLC8mbm2uSlkWFeGx2218erubdxoCWAGtFTEcXM9WrK
GiBzXScoDhRVFbxjprjQTwoDDsErEp4oG/8X5iACptGOk1tb+uZEHju7sBDeK+e+OuuhE70kaI0j
+p5mBwf43v4RI/6cPhS9xfXKmNyAzKPlTmfXlnOp5YvbVF19fnpBoivKMyjKOnA1r610Zedgp+bQ
dtJooGLSd98h71WH91R0lPDA2p3XHggSATa1U7h0bHFp/eJ7SWKEhVo43K2BJb+gI+rGoTq7c2i7
aSa1p1QP0wN3392DNGSZvhYgMjH1uK3kxBITExDDFTcrl+RPZvKhqk6VvHTnEaL0y+PNvGuL9hTv
CI0qSpnr5Q26WkmNjcvbKFVbJynrm8ori4av1oaJ9qmRrPHg0t15CUkEiSHhKe0CgVdYm6wyI9ID
Gjg3eY7n9xmV4VOG6Mdvjxe2O2UECqKdQzuRQgh21lakYNIzu8uwUhrhSW06/UOJyvRL4tTzwbVx
z5QYZWeuCowJ0xVrU/FYyoVdwFw/TWHpUvxuvEpc7V0Sh89B13ELquo89ogUcZ55I9em5AJx8Ay9
zFudZ8ZLIMnOB7W3sndNZ8rPBpvCFK++6OnQ9t1uoFbJUWnNRngLEwtpean+XqTzkRbizv2Ekgeh
LFB80K3U7tbryYossOJ2sF5UY/mQK4qPzrztIl3ydZCCJ/sD3Ok0h2hQkStDtE4nZG0sAO+BGHVX
3hLC+4vZBVGG9HkSnGv+2ZMzQ2/GKAmIGPon7mhtTFe6UGjLFLfESNRzES2Ou2jFEVDyrTi/KiGR
YQKxpz3FC0yut3lMmGMeSwd8681Wu2Bws6Jvq1PUx7n+khl2W/od/CXTKwDf7NxUvG5uMcbRB2TW
O+MAR777liLZ5cJSARIDmtkOahuL0KOxbbZ3LtCN7wNHfgH3Z/ywk2Z630IcMx88bXuLXMpUbUXE
KJhMNy9BJVtBV9Rddos7s/mjtZTgHfO/eerbfWrlaMwGsXJgcnd5QVbEXKcoPzrQxW2nYZ2us42m
0rNbwwS1m8e5ckK2/GhQcHejQJ/MDDpoLvC2IJ02nhq1OPEUGMNtnOnGEKn0LqQczalcjCNK4rfX
ZO1B5OzwSpGFibRouyI74zSEbd3doj6c3uvKjI5PHbUhFuXknZMhAGgrRu9qqIleK7Uo3pG3WX+N
oWG5caDHTw5XcHCopcGgDdEV+MrdhC7DHABI67y5FUXX/ABHqLqN06UHzrr/juTQgDPewggVANT6
eMqtEiyTE7a3ftD76DKZmoT4E3QGzwZ7Io0mNxOEtvTftyHlEsQIo0Ztd7MlpfuIzHvmzVqb/kA0
Vz0/fvH2S6KFB76KaiALo5u8XhJjAWM2SkNxKxPIkl1zkYzPrSpPXx+b2fsmkSt4AlrIFiIqW2Dx
nNUagd6Cmc7UT0QwcNT3ZLgIvT9JCExJCfA3uTRAOPDFJO7rFc2LXTMHWS63OhxrN6qG0E0TLT3T
rGx8NLt+PLky0GKgeXn36JyAVNvEQq1eA+JytP6WLugaZ1WnwHAJ7Q6P+xGEeLeJHG/h5m+3NoTg
G/er+1C2Z2MebmUfzmeLlX7oc6Sbyyp4umgk0ND0j6nEwztOsrvexKgtTMjwEvXW5zASQO9WMYVl
5geBifiFV7cIfS0GoeihmSAXd9CMxaycqlYylWywC71oDCzEUNP4r0FHeswoKvVdXnOjHpwu8UV2
VinE0VQWtEzb3EabNEeanUm9yYMWXJqoaS5LZ8eeU2fjB2Xphler0PMPjZkF/4HX46hgsTtxdFJA
xgl2cjp68rbdq5dVwtCFM9+kxpTPEPpPkAy2TydwWCH/ENrzFA5oUK4/IIhMO0sVTkFbTMV5Hsx/
jbZWz6OpHNXktushPCJRFDT4xJkCZLu2FDDYn6VTK/tM5kgfR865X2n6UQtv6ypvVqgsQiskmIW2
D85EWJs7sb34gWxXAt76tdHH31TgDW4XGX+CYvYen+ttmCAMEp1TrCVo5j3dHDYkGZLZgnrfz3Jz
ckMrMs/zFFmurmXf2yL68tjanU0UQxcq+RsKXjvKwaY2KtNK68nvGe0/640UnLq4qy+PrYhP8avn
E+5A70MjngItl/G2Py6JiBr43eiHaVH+xygV/VxOy3Cd6iB7CepW+yNLksLrysOQ/Z5lBLSoJIkW
B96/dpJOC+rcsJLR15WkPk/t0p7Vum3P/DqzZ+dW+amd4LMJ6sb59njN20tTrJm4iMYNXFFisHxt
ucmmatHGcfDTrpAvQPGlE8INslsEy7P3M5patNWQvOL9Il3dRpZTDAxF7YvO76vF/ArVAZPftRJ9
razpaMLv7WetPyUlJwrggoJfJJCbC9rpMjmKB6X3J81MZPRQlzzyE6k1h288jll8jvQxT77aYxOG
L/OgRYvbTnlif1AGJ1JOjgxKyCeoCqXLnMlTeDZ0NIoObtr93mtUmQVCjUdrP+Iz6vo4qtPU+8xR
gftAOrD6OCR26Tl9dgQVumeLvBCYBE5MH3ezIcZQxkmLIq4f52Z56imlvRvzMeIsVdO3xy61P6w4
MpB05OR5+3cUmmkYKQUT57hUWrVfHLtTv81Z8qROG/PPwFeRF4GdRQygbEELcpCXrR2arT/0TnCK
MzM7habeHXyiXS74ZgaEE0kfVqjLrs+HWqgBAGPkYxZdK/+S0TP9dwqh0Oy6pLuklTm/RiiCePSj
5Uvd2dHNiEb75fGG3vl2jLm9MQXRGmO6f/075IGxTIktt36ayMUHI6iS943aTZSy8umAQOCOKSGk
QkzDiiE629SRYjNPKrucHT8bltRXE6A0tSH1V7N7GtvCjASuTwNEyAqzwcKNfikCqkvetUOQ276c
VYobNm3ihWEVHLxT22hGWOF554YTDWouuY0VSwcYRBjvR1Yfeug020CSkvIFUu3Aa9sh/aYT8PhO
nsdeNZvp9fGn21/slFQZbBO5IHn6tq+55MWA9F1g+TV4wPdzb76ribhv5DaLR7RQe8ugKB815hzO
jw3v32c+nhjvFTRTDOdufEYNutYwlsT2dSv7I6rhSIfDNoXcMpvdNpSP4o/9meewQy/PLSba/9un
E4KfJiX7tHwpTqHwDPvRb3lwLo8X9aZ1t77WqQ7gNYIZj5LBtipIbb8GyCOpvqqhTgfaMDIGnzhV
7s8WKGYubmeK/mlNrVSgPq7t8mNhd1pzy/OmjEFJ8vLQMu9U5WOaN1Z8A6Ee/D7GdA/c2Z566aVt
yuD9kpVwQbtMSRihm4ELCF0GXtojouu9b4AaJpaBhp2nipx27ZpUJGeyIEPx6fgwZTIHnawh2DVl
40eFisvoFVJrADCoJUpOtjlXysGM6d5HyNFpXuCfQM3Icde/wBgsHXTXoepnCjLVLhKsnf0tLOz5
d3uyrOUUsS/9wQWzcxRsCV0oJsFMgebc3KcSgQFTrV3iN0s2XVMnir0WEMTLY0e5Z4XsVmAqSXF3
hI2zHpQGHaDU1yspCm56UPfVCaqEOTt4H+4YYiKY2Rqcn+VsEbgMgHVKuoypn9kV03Ny0V3qsIm+
Pr0cQfwDCApvEVP+6w/VxE0nTVGc+eAyGIk15vqUxPAcPrayu/up+TGMRMmYHwPuRKz1lwu5amJD
n8Yg9ssRRiYzqdT3pQo9hqZmT0oZEoMIUxTGBL6LwaRNU6vNUlTIzSTxQRMtZ6meghMiNNaTdcU3
KwLXAd6CwuKWxq0tmqikSxP7GKtJTZSsrE/pFJVHt98u+2I5vNACwUuVg++03rnCHrLCyYvYH8bG
/q1LF/2SJbVxnXQ5fD9aUn2lNao8WR0Qq6MtDbRLkP2SsKyNUgGvpwTRNz9C4/UvxjjmvzJ7iN5F
1pB8qTVz/JSYkG0+9hHhA6sLmPRLVI/4aALysS2iysYw60qqJ36uSrkX1LEMqpfb83krjP8xAAgC
EAyStl6as9gUZfU49a0k1i56CNdloOhH4No7/o6fE0aC76aPu30ioyhK+zm3Ur9WxzG5IhGmL56W
tlF4yp38EL52zxzVPWrrCNrwdm2OlwUdiK1JY+XXTRj448STb7dK5AE2Kg4u2d3LQpmXS5avBASW
5HxzyZbzULVdXdV+4GhjdXYAYmQfGYgw8xPYZRWp2tipVMKtpR+uoVZBAPj4A+7XirAIwDVqViLK
2zZ4h0o1eps5GF8bjOXMTv9H5uk+RcNydMb3Rw9LbOgb+SSdi83VGIZNAX9hV/uQqwTvK0nSEWO3
rN+IxbVzOhnOi2Et8XPUjSKFgkuDd5vRStggtiWyaADJbMRdSeK2TFcGHttTPYEFHOq0ODhwd3YS
5DAMx0xw0jHTN6c8SOXAUQKz9GsF8XBqLOqSnEZ1bNuL0smBdBCv3tlOOq6EygxGce62TgpCAPU6
h3jD1KLRU4JufgfAZv5kMfX4yVwy5ROaT0d6Z7sYnYyU20woExCo0wBaH3ekc4e0CNrEt0gJPsDW
pl2sYSpvjNgpoVtUUZ98WfLaCT9UmWS01y7PrYNt3t9rJJFojjCzLRqZ219hZuRdGwdbusGZFiNe
btkuj8dRZ/GOFZ48rmpH6N1TrFsvtJ5Vmi5xE9yWOow+MV33nTnW5Mvjs3fPiOg8iVo4j6y8MZKq
S2fURhbcijjPvGLOupOWQs762MreLzUmIYCICsQBic3mm6VcKZGqF6E/K3BaLLBW+mXOVGdkSEfc
RntTXJqUjUS6T8K4hb47TMUUhjaWfs5I2HQy0S2CyNmQjBg+nhEa7scr23sjKQyuj5wUTO3gYdYf
ScrqYTYbO/OrNFPPeaZpfpYuQOvDaXofIxznKVZknas2HC9jOD5Jzc1BIFvliWD6mwuZSsrafJ6J
d1fqFx+9rEw6l7oGbESn2jG4CE/MR2R6e2/BHMUa5iOFZOU2P86Yb487q1z8PJv1l6hy7DPSI/Hl
8Z7uPyEjQLSBgIpSEyKIXS+qI2YYszla/DAw6Zc0mtW6TpfTBwrg+Dqq/t21ZlHCYgepee2K+92E
4rdkzb4i1+3VMAdUfmq8tEWj6fvjhe23jzcOfTMEkMHF0KlfL8yJixEi/WmgDK7VIXXwJGE+SAcR
/tjOfkniLdUdwmaeG3iiNnYKMHpkaoOvBYPsIqJYvmTwE3hdLx+pSt1bEikamelbfX/LxOO0aDwt
4Ed8S+rzF9kpei+UIL19vCCxMetAUvx8EkBdqJjs3rVqkiaN6RXFt2TA9DCHaQUiXRHK3HCbj9Pg
EazLT04fc7YEKJpYGWQHydS2Q2gVkTIFdqX4KUiNc4JY9ilsYuvUO+mT2uZvpujpCgJpgQ/dTh83
eb7ISx4rvjbRx52HLPciZLkPztX+W4n7kND1bU1AzNduYajVDBewJvsDldJLEypwelXzkZzaXStA
EOHDFsHctrgTxQpUPaEt+1Ya9N5cG4urdc0RF9O+uCO2SnDsCJwGfcfNYuZlgQNmmGR/sZpw8vBv
Pf53ynK1eC0mtdOuFhUZ/VMnzUN9ahoDjpxBgvLnwtUTjR8zua+jl6qoevslTA1wmZERRJLkynnd
Gsxt5pn9XZmLNL/I0K7zD4YCrZKkjYhMjbZyjlSr7m2bGJtWkOKCT3lLqpNMatMQGs6U3JPpu8qc
/avA5x+dpP3VwAQR1TeAWDwaVG/XPhASpGbd3M++FUiFJxeOaBul9kkL6ydJXnFqMaxE4AIImiHt
bfbHZwlixDi5WPUSLHk1MnwG65Sr1U376fH9cGfzqEPja6KNA553c7HqlRpbeZvMvkwQeJrnWnWt
wQ7Pj63c2TvQAtQT0Wtlfm97fuJsDuF6mSe/K5v6ZW4gLImrPDqVc3ck4LA3BUsA+0d3kchpR61t
6JLTl0lQ+1wN6ocsk5U/E2fSXpm1kQ5wOPdMUWomfoFB507ANMeTY01a47eE7S+osZSnbjBgpa7s
A0DoPl2A7oXpR2zR7iGEWPse0heRmvRN7asq0Co3DXPJdKVmkGoXFGKZe8OkRKUH5Dhxnn4RheIn
uRGNRLDlW07Isitto+fI+3U5Kzfwid2llRTLy2PaQY+9ZP9WoTEK3khUIhjV284Ehoix6VFlNn5T
SPlLa2XOS6cUxSnv8+E09LJ5kL7vfZ8+E+890R9VWbqm612l0muMfannfjQ6+Q3st34JpeHr40Xt
nQQjfDN6i7RKeYXXRsY0z/W6WHK/mOXohxOO1nlmUuVGPWG8PG+KhES07qGf3AFswT/HMrlV7tO0
6k9RVhtu1gThuSij6L8wBcabaUeyWCp+m1WlgkduDMbc703jH21p1BemysJzWHX6QQK0dwqCMUDe
tLLpne/It5xZLTP0iGt/pBP6d27pRekj4dHPnqy0SUSHgkrhwXV1zyYOT+4oEBcgfNffDOCbXiVo
KvjhEvVfYVprz0muxV6YVPGfqDE7B/bu+IjIDHB7+gOQ0GzKtKFRyvIiFZU/OXomublaWYur13Kd
knnJ1b+P3eTO6uBop2zEf/TEtzHuMI10y2kO+GT5sFzraubWtvI9mKTbtEyV99janbWBzhe3Fwvb
4+DMeNQrDVIz+lRIZXlVXyjNBbmAJnwBhtkd6Y3eOdNACGnHkS1Tadg2Vu2+XZwqi8GW2Nn0VQ5J
YceqKb48XtSdLaQhDrnJm37lLh0ZZx2ali7o6XaWjqeYcUQQVBnXDgzzLUV/9OlXGjCOIK0Ci4lO
/baboxcx1aE+HHzABbYbasbsG1XYHrxnd/ZOUOQCn2JwA/jixu2tsSg1lSFNf0oGcHC5094SmlUv
j/du/5YxasBP54IScdQWg5PQKFBjKR18CRTrd3mZh7O+pOa1C6zyjJh7+16aNeXZqx6fECPNbCNX
CJxS6xNdyHFixtA7+mOjaF9iVYs+NbX14/HKdvuHEUa/hSgbcSjfa20knO24KyJp8MMZbMKcJPmp
SKMjctx7VsiDiXepJBAlbpoguarNjkRs7ttpmZ27XB9c3VmOSmi7YysOETxp9PLhkaTltl4LbDpW
X8IqRsd+tj6iG4oMgFUnH8ciD5//NtRDQBhTDhWv/8ZUEkl9nafN6Euj1Kq+7OTddI7QNXp2rIHr
h3yH8i7fn2LMtizY6dLIly9Gn2Omf7GkoXY1VHa/Pe0Fb6M7REvkCndG2HMk7htczZjCuaNg3fe3
zjSN+CCz3/mB0Nik7QqOmVYY1OfrL9T3wdDxlEx+jG+fSR6nd3lUNc9e31jhlntDMdN2tTd3ArPM
zkBnX/aVOYtPy9hGbjk42aXqDqkNdy4nTHFICdrB9HOA1gtKQq2fZyWTfRP6sNzN7WAgyOUDEfBG
FGEuj7/Trv5oMEtDO4o/CW+pe67NTQvq10bMykA5Jp7c9tKfw9jrX7s8jryIoARYpzKdNS34p4EK
9/bY+p3FEl9QBxeKfSST4uv+2gSepGIClyL7caTor2ZpOQiHFfEp1uL64PHYXbgs1KB7KcgpwHJt
J+8T00h6i+kAX6YyeJqL/uNo6xdJTceLZeXvlrw8okjeu6YYNuRAizleoGmbVDnWylybQUP4TdNP
tWtKyv8wpuc8Cy4W8qEOkDRNcB4y6Lj1zVlLEo6B7EtaBdJwsDjZpTxclMpqDx6t/eeCmkoM6gDW
Ei3MTQKWwJSQouqs+HJRBP+M3TReisoqT1rVywf95jumSJIFIzm7JzACa89wimGRcrsJ/GAq49qN
5cm4yAysu0HozM/SsLCFIiOnESPQMdTs1sYQc+T6d5KAxFyK/zULLfc1tX5Sho/uL+89ZxroEjgx
6qprK03GQGMepJafxmNx6StVkE835UGmsPdzxgQAVAgMH16+VS+3QZ1GgZyavlTHpZfGYdq55pja
FyZK4lvQj9OJgsHTZVy0BGjQM8FGuMn/b3y9CMMu5dmxfK3SRhfvKa+SXs0Ha9sFnLwjdIGEAWqq
bOh6BwddAS8dqJqv1Zp6MbU6+i2J6J2EmmS9s0OtfPZNFpV2QNoCDEmysKWziUQfkqigfdVqhMuZ
nSwhJQmy35+8BHkfBVIZ1DxvDANc61UFQTFKqGxiJQ2DP7tZL1wnb8Z3U7+MBxu4vpI4T1x9IJTI
sQTb7A44R7sxgE9J6b3KnnLMgKTT3EkZpaOp0PXx/WmIEPpN11DM5Gy+1FgEZAfLOHiNoxReOA1g
AYY6fodg0VEz9b4pshBaFQKtvzm8WphE9DLmwRs77TJpWvuxVLrhc78cAajvbR4vJAhvAaOmNbL+
TmHLjEfa2qypo4o/Oknn5rN2RHIi3vf/16r4uXOkBsxhEgvyLG+WEyHlg+wSVtpOD1/DSTc8Kdba
E6Aw85QBO/jNLKXptZP7g2xuHQm8GSYf5qHCPYAHbt2wRjsoUdEg8UJFk64gqiMCw66Sr7I5Neck
qeUXMIOKhwCtczYz/UjE6M53FAGw6KDxoO26CzXCnsmyYL8rpMKVxzQ9tXEx+3lRJQdhxwaw/39r
petK61M0rbc8qpWkN1qcVaM3FzCUBIHqXKWiGa6aHrZnE754t1eW+VVojAuxSusSKygozHZnuYYy
lS99DnVKsaTW18dXwR0XY2aUAqPoc4u8cO1iUdowHjEk7EFXKJcltEt3GIrg/NjKWwtl42OYofRB
aQdyq+2nVqLUTO2iHz29AQ1UAPv4oDMrjkx3G5zTUUvdMGvN62S03UlqURgLHTW5JFbTfX78m6wv
9J/fgduBihbQFoGGWK93SqWuDfNi9KwgMt3MsaXXmkkpMHpB5w2V9Nz8+E97JoTu5Aqw25pbjF4I
z2A6UrD2zDgBqRTSiOuVsqIlVxzRMuzdWYyWEfxRgrcBYWzOcbssCkT5GkszxuWjlqXOt7zM0ksC
uVd/kATdt0WjkVkXKuPbJiqklHMSTfboJXpNrtXC+OCCwkAFzOqGb48/2WbaWOwhCxNawlCfUonf
9kpGmsBKmDEpZLZLUL1mQxP2H2bGcUcviqxO+31ObfOTvARO7BojUGOjUIz6FErOUp20KIQuzVXT
kjjlYBf2hwcwGYEBBPQ2r/UWuaGDCKm02Rq9wMjS3+wMsbrIcZ7jvvi5fBBg4AvAJNKE33zXTM+l
pnOwshR572tmobqV7HQHR/TuWigCiFcAWO+WjzC1wsEEUD95y+z8C81zdnL0KTmIBt6QvOt7gDcT
igMxlyjmpDbHr+FNqSSlnj1nTPoKxsogqk86vGedO2mtI52gvWPermxHu7rocpDm16zSwuYawCnW
virzrObnXo5S/ROxaD2fUmSmm1trUoJ3Z2Voj2pLdxwdah8xZfA2nLcNM4dlUaOmgtknn+zf5wXe
dT0afwDbPFLWuLP/BC3QtDHcSAi47VdoIzgB3Q4mQpdScqu8TU95MB1Z2V9/QlGKkjfENMxKbZGT
o1JPZps2szeKc9IsQPzk/FUL4bA1Ou0Afy/Ck83HJvwDnklAK6Cum8JCiNhENTNC5OVSlp+s3lYL
t7W15WIYc/KaInDmpe0Q/3h8Xbzl1Wuz5FXkI1BH0Lpgunh9xQ+Jk3Y9XXyv7srg34Dh4vaq68mQ
uKVTK84PHp/xO4Q5mfVaxmMfutATp4rntErsXGIz1P8jAUPXT302F0K7ItOCD0lj2QmKVHrbXZR2
MUNXEUrC/9i9uryjwZR975Y67Xy9TEL4oo0CrYtazu1XNUdx3a0aSSuvcaCa35ckkFp3GsdI/ZhX
1dLS3l+YEhAyRNWL2s8mqo1BNZp+P1VzqFy0Kc3/kaFPC65BrlUVp8OI5+bgZO7dzwYRRqniraFK
QLXetERdBpORSI2pnaV4iYAjnkiGn4NXi6uMRIBJIeRuSHrNbS8/0tNkstTZ8pRcTj+UzA75pVwd
TUfsA1qCZoauVLp+QIp0sdZfajxd3SiZ1VmWV0pV/knPJ8kbpXD+ECHafm6aIfoRMMVz1pmXOaja
3bHMTDtlSLJtkVdtKiMlJBelPZi2pyvDiznpsTtX2t8IjN0g7PowBWblBsGTFUmk3JlwEUByocpD
bX+rDaEUtjoVZmN4Y9ao52WcZi+uFfngsdvehFgRA49ifI76HQP7610NubpC+pyGp0CH6kphbP/d
9blDQ9qInsqC3xaEhIepY038YW7ynrlqymSg/uLJKZIaEBQOf8yJvfz5+KLY3oUsiGIPJXZCGJhn
tvFS2CP6KmYQvKRtDPPUL0vzNSjHdHTrdnL+so1KPqLzvrOHQvoHEhFqJRS1NlfTmDHtOZuZScAA
WWEfN4k3cs1cALgcQafumWJcjeFRCrugwTb1kcEsGsWaMTVYWu8mizqcEplJryhZjhCl9zZSuB6U
iGJAfxtToxMMemfpTC+apuxkh6n6Z1i1CCmYU/BpXErr9PSHowfODSIkYanKiN/nl/O9FJlRKQIL
kepjeApriORNJZ2v0Lm2Z41s8b+wR+BFU5qwmiLkxp7KLEMWAB3z6iS23mGl8OZ8qa6m1c+XXJGK
r4/Xd+fTkY5DyyKIRQR4db0+PTEJ2YU98tbi97LOoKZWivlHYyNF99jULi/lEAiWD8GECyoYNfS1
LQVKzqGrs8CzpqH5A0WloCzg/O3z7o/erjL7c6fbjQHlVVCqL5HSQgZVMT873gwlnF9LnowBnrks
ks9qkeiNqJs25cEvuX2bqIORoeJDNMYcqsCb+1yncFTVumR5sbFkZ72fu3M+tv883ol7RmhPMfhA
gEQatXkA4dSjRQbhpqcn6AYwISm5s9kd1VrET/k1NhFLEbUWGi6iYLq1ModVlsD36njZPLa3MWvR
S4x6+TIZ/fBpLoPwpi+WfLF6NfxiDUp7eXaRvInUpt6UkQS+ff2106SqhqxPwmsykoOmoaZ4ZpX+
/djIHZ/CO8XLS/OD+2f7/lZLZpelM4XXGCVqYh2GkJgzpdsZn5t+cf5SgkbWr8PYOcrnQF/kICEd
Nrr5zBA4vNNhaUvUI8bE6d5Ntdr/Y/Xa+JxAmXhiEFQQGGpwmIyCbO8spMaDpNfD6NpOo3nVkty4
9k1ePUVb+H9W2AlG2DirlCXX+10HeqnFSxZdoy6uT3KbRZTCo/Lpr8paGJ8h4mBYk/Lw2goN/Nma
yzK6anapueaUFKeRuuHBLbg/ICCKCecFWRR8ZltwcQ7AvYIKJrrmFMT5o7ZPk9YVB12YnRVqJUzm
mIwa8l129E3D5AShXjZYUZz40oL/PSVo/zy7Fn4yeFLEncGIiTbWesdsLYiqJJGiq5SZAcxvjvRn
3c3lX48PwkY/lM//ZoZWGZV2si5583AskmZOfYuQgTzk5r+LMxnLN9WKKsMl4Ag/1YGTNb40SIv8
Lql0+x95TltzJBJBdtrNuniMz90EkvLvoUQM0QsdJf1SJTpjbkNuDe/DcFo6X4uKMXEXYzGi6wAG
Oz7NVRK2rqwVMNnJctj/1to9U9CPF7d7pFgbbGhiZpfx7h3xsqhMmgEpE2urIQjU9fI1LZLFl8r0
aFzynila7kKQGK1qYHbrryWnCZJujMNcjcxEHyFH0iimjeImTnw0h7BNWQXbGnIF4ukVvD/bp6ZI
LHMcW4dZ+jp/6YRajTEYf3Mdf54L81OPGMTTu/hWexWk+8hDbRMiCU7Fytbb5GokZu0uaGNDehgg
AETb1nts6s7JIuAUwB9iT6LQzS4mDhyjSVon1ypVs6sjN+PZSLXn9BjeXF5EnfQREIAUxEnrb9Xo
Ohmx2iVXiTHaE7zwxdlS2uDA+e6uhXyHMgYzbdTe1la0qZsHKaE8FZP9XcZRGU+JCY/q4x3bZnM4
g2hNEImRsVIW28RGBpSCdRwryXWwuIZqvdBfmyxXGO3Rpf/l7Dx240baNXxFBTCHLdmJkpxkW7Zn
Q9geDzNZzEVe/Xmof+PuFtTQGXg1hlWqYoUvvKEfAsPupz+LbpeRhfz9j9fHfmmGjEvliVoNAosX
V0dTzUnhdoxN9tPu/NlYdgIV6Dchz/73tciASEjI7BhsW4G/IummnZtWEy5OKwhX75oUbuC64jr1
/5jLpkwJ2oYmw2U6V5Zmsk6Vlh+LytZCd3XhLKya/9ZXkCiWNhJEEIrFBFkXd3rRjcOkp2VxNFaR
nvxqJAPvy6+vT2Vb9rP4DUoPzXT+gNungXAxyJxZ5jKtbXkc2hEN2JVqzGDa1RKACsoOruz0f18f
8PruoyqDtDN+cfRO6FadfyG3mmIIIRSP7HSYPqzjYu6kyNt/naK8cRVdTY0giIIJIDpajSC2th35
116YUReatc4ojroSvXZvzaOeB3WC6PzJMugXP6h6gmfy+vReGpQGAvERLRmkqy+ml4wajLyUS8lr
E7VbtHk+ethBQm+GChkMfIXfrw94tZ7MEjTi5tGMngEp6/kszaZ04xjC7bFUhvT3ceqCPGpS1zsO
Vm3eco19aXrEv+xH3i4ukIvpEcgmmastjIbQWYCI//BV9rH3iyvafBcL540OGRxopvfcKebyJba9
7BUMDuyVBJG1Y9Wp9p2Idf2TAIb+U3Yk5XpS3bIUfmmC0CLIwmkabEpf58s5UEEuVvBAx3pZ8hbu
qpjM3TAk+ama3fiTaucyeusHpDREbkEkyoEATXg+YhKXpdDRVTrG9UpXGDHfu8LLsg9iWZrD60Nd
T46hfIiqCKxQKr9sjPcJNK5SmfXR5UNBwdDkk+1mtC2KKYnrk75I+dYyLLSIjZlIt4vSF6yPy9lR
ecqsagD0OS4JtRP/K3C5/kZWcn0GKMuDBvK255N5bX//10kvvM5QGX2ko9JJqAMh4+zjxGP3ZbWS
9b/X1/DqHWNCYHTgH3FpXpv8QApqyyWrmiONHSvsCi7vXdf64paOwLNo9dnNvA20wbTBabMbL1fO
EulksPvkMfHL/PPsZH0fxquXqRPhMGJwy+wXQeNlbX9Xe1mfvOeqS75KN/MWwC9t+2F0CnP8NTk5
9dm4TGzcxjWoTEFT2nb8QeY1PK0y7dQTqBy7CSFxJusdlLzVvFtAdjto/E+dvR9bXf+n8cYxrQMK
AMqXgWvNzVsr6dtGIenDN5eYbjMHPP+Gfr2uS9l71VEoumZTEevvZJ6tX1//elcR0MUo2wn5a6cA
dTKMujArvp6fIzlre2FTjTisVFWx9/KhZF1T+aVuZXl8feTt4rj8nFzUoIZgyW1lhPORJVCKPik3
9DMutyc44mofG2Mb6ko6j+iKLKdWT7IvHpzhd8mks43/H+NDmCMAxEnySvhIWsks0KatNy/JCq2t
Kv8nFYUKKynK97I30tDGNe7dICb/KePZf2saTIECXg0PB6R1StMXD8cIgsRZ64IjGhde5JjT+mEs
CDNen+QFJXV7LgDgbDR8wEUbsv3i+/Z+SQMOOyAcq305RNpaDnaQZUtvRjRa5RI4hSGm3+loiiTQ
GnetIrLSVr+TRu9oQaPPHgxT4aQS1aZC5DhbGKoKZQ0RNuhdV6ErX7ZaFs6lBfO59+vFidDbq/P7
0Sw658Z23Tb9+abZXlnedW438vrLHiorhKUCKBsqwVMTLGXphqUYvyBLs+5fX7nrp2Erdm/3GReO
geTX+fbsirmzEHVvjmgV23rgZ4t4aGqrPrYyloE56uXbXHqePxVlBJCcnAVqoJfhGQID3qqQSTgu
TVLu1zz74nfCD30jvYW3uL6yCXF5Yak9Q4c23YtEUUGZGknemmMCKX8/zZZ20OR0C6t8fbVQRCI2
AgDmsfsu20nGKr11TE15HPz4By/9FFqTvuce1UKErYzQaMTHpbVuRA8vfLdtqyMFAYmOSvLFdyv6
RMoZTdjjai3Z0cqRG+vaqQmttUr202rKp9f3yQtreTbexTWGS3IKeHiWx8LttWg1J7ysyWvD10d5
Yd8jB05MBB2BIPpyN44eAVA+L5sMROtnu74r3QVrR83codfg3riZX1hCOrhcSsgubuqk2y/z15vQ
pHUzmFUjj01jglpT83/KTJ6yuv6zDvGv1yf2wvJx+dO84iqE7ncZP6MKKuKiJsqqpdaFCX6gu8ry
b8UO16NAlKM2ssHgPHb3RZ6PcY3l4T8xHkvf7Ted3EEEsTM1b4ULsV6bYwmAUWBTRCsX2faUV4Xn
SsaZjF4PWmfVT05SmrvX1+x6M1AReQb2bqJtVwqEfRo7mDetwzEzFiMJY8WzuZ9sI7eOzlp5t8gA
19uBxu9WvWLv0a66RJQMY5ePvaXGo5vCUQq8zuvrEzFDmb3H/LZoPspe797GuN0uw625TwuMeSKz
eNnHEJpbOr2uYXKuO/XO6zIRlqupU/seb72R18u5Ybs27U860RQgLzIc+mdSa3WhHeNhmsM0zrKd
rLw+GiBk3ZDdutqHBHNUvMngLPSArtjmBZu9VlTFj0nXqt2QtO1hw0zeePSfIUtnryQ/nnQGhMSz
gOSlpkunx2OBSwLe7XPdfdMdLvijXidZH6bFnFj7sba670tsGUMWxnk3Lw+N3vTLySzAryY3fpvr
OdMYIb4h6aFxcWVPaVXtLMwxsY7+iOh/PLjacfawa3j9TDwzh8/nDOiMzcketbj2L7U33CVtHA34
1nGq7GLd94ObdO9za83qHT0q4QWZk5ZDMM65EvfgQX2LcF7qxUNP0W0l41P6qH/Vsq52tOO6uO0E
N2RYxLdh1KDLexRtrc+1A0hhj7jM7N+nsoEgU7bg62Xb9IpkoEmGdVe4Rmv842er+9SBFi2zoBtL
6YbpqlfLPQV0BJArXEyeKi+HIDw5s5SBrJ3e3UspW/3UaiAZ70ct14v9NElnfF/5EmR920x5gpix
VUy7tU0N+W9T9cOTWfZWH0yJnXbHNu/1KfBaAWNcSh1MQOjTCLzDUmvodwnluxpmkiW9k+cucflp
TdLBIcyPF2cf6108fB1R5nF3ZFLZ/K4HeeAfINTgELHa7tDt67rM/Z1yZ7FSylHLfJosA42duEyN
r6a/rhqnZpPrb3GH/E82QLq/VxpSsD9jMy61h9Lr8nLfxWMd//v697/eZRu3jWieQANc2CX6Wkld
9TltwGPv93LnDHoSYlIjT6+PcnkVct1SVAKZQKOaLtYl3m3iQ+rauBbRmrbGF2NV1lPWG/KXJxB4
Awd8i/JwOSvG23qsRKH4YbG9L15iiVy+iSlaGc29MENHut5nWdf1z9dndXkBPo+CkSdZAk0YCqvn
771TYziuNIFhkhYPxa5fgCluMP1UBRV5/K2S2fWkKOJuAS43Lm59l/aaqlV+I+IywzsPFUfwtGP3
j8ezdUvA6HpaG1YKcAyBIJv68kYAmdh6ZlflbEkS6CTtkas0QEtXXXHLvPF6X1DRAVtHuMumAHR0
voIyjodBp58diappd4Xlj190ve13k5OZT7Hv3dLzeGFqWwVpmxtPFnos5+MNDjT5NRnzyOnGeV+u
81wTz9Taw1DV4sfru+Pqc23NzU0ieFOKIDi/2B2J2VFgQs4tGq1s3qOmJXauVb2VCAPEGpw1G4OE
lVThMubEGsZBpEms0QSe8reMi+W7YcXj28Q2N+bklvhQZgcNA/7sEuxrqzoz5sbWIhQ2nCAf/DYa
S2Wx0etiDfI0L5NgzpL1z1vXcMtGNqQsQgNgfi6SBL+wW496VRctg98dNoBhiAN39unNo8DEYgWJ
cAnXLteQb2iOZT533E5kyL0CcdaL4m1eZ9sS8p7TL+MK3HKRS3ZvnSEODNOjjyxLjPi6Dm6oW3G/
e30u2676+zl/HuW5LYfjGboMF5F0VbYFGM+2j7ROuWHe8WrMxX2SFPeeP5th2VnJjRTr6gyD1aFL
AbF7A45caYk7KJPAYDP6SOTj8lh17XD0E9UdGjc2o6Fo5huJ6vW5Qk6fiAiaCu2fK2qBv6hBXzV9
ivLeT0IX+HBQjOUt5bPrdeSS4K1CUoMqEN6/5zcFi2dWPW83xW03+c/NzGoOANonOPFNYGtPPTyl
Tzp+6LeC0O0Hn39AMNrbdUFLCxm+y2rG1MdjM6EED9ypWf7TzEnuh7Re7zXM2E8LwApCmSK3n/Q5
uyUBe72y29DPzGwM2YG8nc95aKoc1lE2R5qPJhDCIUtk5OYtgu/VHQzonXL0BqzjLQNscj5KCnPe
GKppjrJOd3BxtPwHs5XaHvnBWy/mS0MBHUBUDuUy8DnbhP9KyHWPQt3cijkyMF4KNKW6PYoYbtjF
nnN4/dxtyc7lZyPmYEPywGx+D+dDtbHWFJrMVWToZf6jQFxf7qvcESocHUlDIW7X+IPujvbPKVVT
GWrJ0NyojF4fRJJbNOcglLK8V5zIoQMOAqFqiea0StXBmMhZfpbaUv10KzBkH2ahqfaNcAMKVOTS
z1cNWJcraQlzyIxhNMwp8qy2uNPGPjtRw3TffOQZhRSauuKm0XIZaC0KL5axZBQhE7Vvmk7ujHL4
/PoXfM7HLz8hbw2oZ14CCLkXR94tfAyjG0ZJ3RTWDR4M3GKxvczre6M2rTGozEH/aOdy0blYtTIG
BunUclfiFdQf9HnqIeOUXZ4GaSNn7LdUlxZwHdD7fmM6vK06fAFCGHo6NhfF+WZbRYaT37YebOT5
MdWd/k/ZTNmNVX9hS3NKCWHAzRM0XTYaQDsUTgoQIvJKu3Y+sKUTJyw0VWU7khInO7XWuvyejVjP
D1R8MXtsbC/ub/wWL1xKUCJwsIS5wo1xiQPCFUu5Q6bmCG62dygcrb0n2b5lknR93W8g2mfRWAAt
9DTPVzQBMEUFOVMR8UbV82G1TA9VVxp+gF26VO/SWIj8nUu4c4sH+dIEObYgTzEaAty3fYa/LqkC
xuu6xAWmPn433NdF+cnPq+7t55TohkAbDwm6m5c3YW0aCUr3zK/sF2onqV7tWxw5buzL6/sWOMaG
taRtwhiXXYZYLWaZNMsa5QPB4M6LZzcPwOrE9t4F3X/LoulquC0b2lSTjU0Cg9zofOUs4MKqIEnD
+n2qZeCVcbHPFsO6i/GKvsHYei5Bnt0ODEZtkkQWN6ENEHI+GDLlIAsT043y1pP/ZS0S2Mdx6D1x
gvmRyF28SuE+Do1ePJkV9IkwpRBRhhXFKrlr6QH9SIUtSXKWJK0+8By48uOCqdRXYcD8DdEbSh9p
l/kqWOLaatdgGiY53BtDUdRhNprJjwnLB29n2KL6FxBIWUWlX5bfzNQuZTBTpBI7X2HltrPNZcY0
nmK/vTeQn8i+WLawKDqKua4PnYNR6/c1s4s/1jqUxm/AFlUZjTWCmJ8MJBZk0IpOHwFVicx6XAEm
tfcjWUYZzAbh635cY6jIlj6bKpgU5js34smro8hC0/ygCb81reFenS90NY5zCovQjsSgfTXJmLhO
p6MoJJLRJcg5oEQ3rpiX9hE3KULOfN5r6Lmd2d4K1N+JQNcu+qFH7DbDlioH82WuyfTmMAt+1zP9
ihYqWMBLEkNmzV25KH2NsJRe9pnMynCo4t+vv2ZXwQCDEEVSS9/yXV7N81XkYRjSCVhyJIDwhEjc
9cgrS2N4sIq0/ahVhXPj7F9dYwwIt5AKO6qcBOYX1xg6gb700okM0adSZ8WzH4LnMW58qhdH2ZSy
KANTULIuRpnTTY9h9rXIm4rpo2p87esyJ7da3C+NgjoH5l2gCLb+x/ni9ZT3GrMo9Cg1jfaE9Roe
gdRcbmz062234T629MLYgu1LhJeB8ib7LbWjuumMvYjTOiz1egxA39563q4nhCkIdb6NMeaBpr2I
ud1K0zn8hh11arVDU03k7PKmycH1hDYyCq0ATMw2XbuLZSOn0BNjWD1cl1RWftH8gs62reey+HfW
c+vx9R1+PScufwTHOLAQwOkanX+kCRHVWXWtFy3E2d/waM+eymK5xe17cRRqVCil4kBKcnQ+Sj22
vZTx7EWj7o1P7ZSO97rI1NPrc3k+8+evC1uNKIu6JX+uAFWgCDWriBc/8rulUeGU1EN2QLDKacPY
lhgRuObi/RmUXvwTi3bKj2miDb/qzB7yg5tUOHY6GD/ckq584YOCfeVrblrWAK8uruK5wp6sxagv
cgo9dT6qeZ16KLxVsX5dmiH58/oivLDUoAFp8HAtUiK5VE6gAz3JdlaM5mR2yHmxD04y37LHe2lO
SHKDFqCZBILl4oOO6dhoRdz70QzYMdC1XIsUvLxTlY5D8PqErl8y2JPUpOjJPcv8XCzfFi9YJaIB
kW3l1dEjAAtW6SOw1mk1NFFb+2NmNw/hC6uIjAg5KBgF3GouMQqNRD3fq9s4GpPhmYBWhdp406vi
+nmhy7j11dGf38ByF4cvHTZ3QzOOo3Tx5Psmy4rfsJJEME7VfI9fi7rxnL2wlISTQOcJkp8VLc+P
oZxVbNmZiKMhGf1AaE251xIn/6JRc9z5emfcN/PU3UKWvLSWaByAL4aVBh/q4gNqwNjTeM4xVCl5
qT1v1o6+sb6VfsDtQvDPu7mhbtFovLicF99YLGuBCW2u5e9xHOZ92npvTqEZ5JndQFSAYMMzM+2v
LKPSOrcgNhfRpDyY0JYhDmXpFDei5BcOFxHUxpqkiwqx62LB0raiINalyPZaRhZ2hl0dKryDTvZa
/3rz2Tob6WLRNLtNZILIf+RLs9y5q1OjVmhzhNEIrQ7u2AMJK9ET2L8+7IsTZMdbYF/xTLmMcowa
QF+qs4zllMW/KBbofTiPXbuGztx2P988GKouDlV9CpAbnPF80xMFgx6gHB9ZhCAfTVrNAWRXVD56
zb5RO3phpyNYuIlpUcvhAbr4cGtmrk41unGUqS4+lH277nrlvE0olhI4kQ7FMWIEkJlw/y4+WubT
aeyVJSKUpe1dpuXrTnNGdXrzsvnMBBI04dVWzjxftkEUmHguWXIXm325gRH9fYXxzENDw+Lj60Nd
X4N0/rhjSVnwsmXfnw81jtnUWs66RKNK/7FU/MfPzcdVa/wwgW7x+ljXW2+DyYPtYCNsqJ/tE/51
go0NapFM8xKhKGKG0nO9vUl/PlRwjnevD3W9GxgK+1rIDpt64VW9LXMyr7ANKoklpLvO6q1dtg5v
c3fadgNdK7hrG1iFAu2l31EiGyKrZbaiSujDrnHT38PqO6E1qlt0pev5IBVHSdTlP6pll9w1MTdK
0jHgpa+19SPYhuKu8Pu3OSg/z2fzUqVMicwUKJyL41q4cZamizCieEitAzR/K8LPELqivt4C670w
IUAwQNX5QDRO3e3v/9oLujvVLjwGM8JFIwvrCcUaXRW31ASudxxIUa5xOjubcuolA750pgnYkONE
oNroyY7ez7R03q25Nd24Va+nQ+xLGoRalvFMhjqfjg+I12zc3I36VP9vsJPsZBXKOry+qa9DCAbZ
pgFKlFD+0vM2TmZZFrJ3o6Vb6ykwpajv3cJZv5EmizHwRjpndDaX2g5eH/iF2fEcEgRSU0bh4hJi
MQ8Q/rpuMiPV9e0pdcdHDTGBG7O7HsQD6QAWgS4pL/zlILFXVtYiB0IVSc7QKRUHotXeJpu6bfFN
SHKDiWLchw/itmP+2nfcTGlFeQnRlsWud5Pd1GHSD7eQT5Qp+Dnn6RDXKukWARGqqWRfF+MYvWxT
mcVROaBJvBP55OqnHhLbr1yq4SlplfVvbTWaOJjpMHpZAOoSz2f8rf3FDwt7SGToFpNRvjMyCkeP
XSmx0dia9eIQ5/FovjPo+NZ73DFruDhZiYfSrMX6cEjqzhI7r9TM8R1YAWkfPHpg6bGxK4pqutEU
cZDURT/fr3k9L8fetkY/nPzKL/arTFxrpw2djaBS1oz93WAmpf5gL/bglEHeyL4AHIVjz3EsDbWe
nAn5jD0gIMv6agmB9tLcVXagOxjTfJKSO+ZUmyKdd24Xz7DkF7Mq1W5Uk7OeylUv7chUFF1Cu686
WltL2vaPC3hdcxfjfPRfV6m+e9c0OT1DoxuSr7MYUn83afGafBhmU2Rh5eZtt1u5idcgdWqn2rlt
Z3/h3Mvk5JjCoOyf4iIDOMux9rVrNfYHdIrqT73BjN8ls2EWB8dNnPY0utY67/2sVMWpNkr0qScr
b8x81wgd6/GmFs6w03OEWwPcHsevUzYt/+Ry6FUg1rG0wymHMfqIOZhMwGyZcxp0ynGSPijHqq8i
pWeNAjdl8hDxcgEacbO18kfgohOSVgtKGdUn2wJW/C61fWS1GhvVv/eULlP336UVWvmzl0ql9/og
UWCwkN/SvhvuisLiIEBn3C3wM9sAGQGP8t8cIwOLFhhklhMdX8xmqI9+s/sGs8q6tXWiSzMRFZgV
S3m7dZgRcs3rkeWdlw5/a90akyKoWlond7kNmO/O3YQBd7ZUnM9mVIM4WRkY810Kgqg+5iXB3p1A
PZ0X0OKzPJB6L3/GxR6N967S3SoQoFp+dprdedQHbKc7rdhIDHu37hOH2mwup5A8fv2UxbHjhU7f
ptl7a6Lg8GCvvT7eEZPD7nPyHtpsChLGC9wZLBqU+2kToF2kVbu7aRFKRkXcFv29qlQRh0tlDRi4
NsZahZimQ3cYezNXOwUfqA8GWwxTsLa9xpPnABUMlSzH8q6PxaSCTOLLcjI70FO7wgFLt+dNKRf2
CtDRkKB9mMiEgedNj66v+LyJ5RkqXDLPU/d+5yzmAZu7xHqXL+M87Od0SqZjgzsJ7VzsrozpI1yx
tj5hXq2JPQBw6X6P19TsH/yp8L6nQ659Hpra98Mslmn9kGDiiJ4pZKUYdqoxd2GxduwnIRxRhZ4z
iThYEwWHZWpSvQ0FWVtMERjliBBPzWQJnXKaCoIVK1NBl/Q+6nwUZT7Ui8g/Gyj4fcb/Ns8/Jrov
9a/dvFbqo85+aU4tOPflzmkL5QZ10fbVjwGKybibgKqJnTWXfhNiWAM9Khgh1y1dqEDUNkFWGUCI
U3P2vttuPKOVpqzWDPScjvevIe3KMawap+866oaz9VgOafnPaEtdHqfOXMqjXmjTkxrMvHhcXDBw
H9x6LedTT9Gj+2Kphe+f9X7z1Iop0XeISflpkOgzkM+2TpMP+QA48eAbgtNjL2X8Dr1JN93nnGP1
a5n0uQUCxHG/nww+XaBbfdU/jLiS6SFwHR098nQqp6O3RbT7obf1OeCUsISi8VP/B9dwXBxNsxu7
YCj12D8tbmwNJ9infn/wS+D7YeuCBf+Pzob0wgFVOuNYlOsUH8Ts6+LQUQhcH9wBzOSnrHXKatcs
c2d8csScrEccSrQZa2ej/7bG7jB/SDQrb/cZkoJyN/EpQbW3C/4v1SRX9T5D9RliOZp0AMOKZOg1
5E9HYe3GWaA8O8JrsR54auM6UBVtyUNqz4W6A+5pob6p+mGOKlf44oM/SvRMOzwrjIdinKsx6E1f
9ZG3xsbyQNBtm79jw8YGVpmT+Qid3ne/FtIT9beYmqb2WS/TsYjKUUNmPV2Rxzjihte/z1eNnNrJ
p9L/KuqlR8xzaBdbQPeclpk3X8Wm85FtsugPRY49Oa9OMsidZtRphWmp14nH0sa45VBLq88OVRsX
c6h6MRjv0wWh1IMHrBbXMJksbKwVWPPRkxAAd0m59M53bqyh+bVqm65p2GhlvTx2Mq6nA12x4Ysr
FmsJR+nF7l0vaBdwPWBYFHHA9U/O6jTaflTdYJx8FLjEzw7EZHdIc2qQB7oKpY4zTiHwx80Wm52v
TdIuaTRZYj0om0x7b9JoS95nuFf/SO3c8vvAWGJR7OyOezNIsrppP/j0b/s7h5vwg2kJWf/SFOZ1
u6aJSWwxcdX/0L4ibRoKb21OAMJaFYohG72gXFVt/2tluOcF0Aubbod4k6Blih6v3bPOq1n+4fVp
p3e+8IQfLF3Vj6Goch0/WssdxH2f5w7/eKG/srebnFsVRdshDuj/2RRFei8hxLTF6oZ+sxhfpF11
H7Oyb+yApffc94nWO3m0uGue79fSEtOur7ReIq/oDNrR8VFJCnOc7ZEC4ivNkVgL0w75R175URjJ
uhw8RUlz57Sp/2HR1lRykgBow+eZxVOXIezz0V0KHUXQbDW/D0jFZ59ww2w5lquA6BYo0Zr9z1bo
RpZiwGzV0+d1Eq7/2U/0NQkk3UNz75UdzQp9Mifq+07uNMcV/aRv8BGt6iONRBnz3KeuGaDVIMBq
L4uozcCrS/W1yXoAONy/60PPb6NFcFAzsRtimKf/IuvSgD/upvonGjdxCmTHNX8pU4lfM15AK+Su
DSSEEYzBfZx0Ext+NrrikGmJ/e+0JJnaG5LI7tFOMWh9qJKqNQgOJ2k0QTkXCCltyZ8MnHppsidk
MoruqVa5nlKrmoZspxA+6QKAcvNHeo1ArutFreLz4hiN3wQp79hXu16b9lGR8Le7ih5tHnp9t7zH
FHko92Ox9M27eZqS8Z0rtEmdMD7XHhyvanIi/yEvWWbRPfbaaNEhzsWSHJu+j93QA1mghclaQ0Mh
uuQ3KnVVf0psYJefNKuNnaNnKft3goJvFo59Wqcf4rRR4s4W2A8+UAqb1nui47U7ydjI1PvSy7s6
1NZ8cY+xNurjL7dG9LFaB1sLihb8/LFZ9Wz6aE5D9Z/XQx2NOmvQnyBuWuNvP45bY1/3TO6zx/9q
g7nLk+XbUonUYDFldmwJTiMdHq8dGpBVZ2K3nLtSjnJUh6Fa/XjfGw1FkqAdZKd1gfSkhSyP1DvA
Fe3quCFo6ZjH1owbJI00YX5JPOqLBwUYHujA2lpd9+DUkIOCSlgFgQN8JK5sXzR4W3vJkP7Ardwz
P3upPcinfmAzRN1SKw1ViNkTu6QvVjMNwLhM1YODRol86JO8ojbJZrU/Jdbo6u8bNlwLYVYa476F
VWsdUT13gWE4C1KpBVDynV7USXxfV9L1Q6LgbLovrK7wHloWsDnpipvyT+m0cQmBwhMO+xl/7/3k
Vqhol1qmhqOD40QS1k6pyqAfIQ8fQPa6xgdDtCLe16huGVOQVJ02PkgoRVoRKC2p5uOqkkz8V3px
MRywIVppDomULZ83o2eFc5GtnJ4EGuIa0GIq+CpcaU2ochW/HxGH+5y0mzSd3WUKH6usqJ0oEbhK
h4kmqm+S3VPhyec3GtLrFrJIE6yi5jjLeFQfyjRxqzWIqejNQT5ZffnJdpU5V88ChpzrOh2nBx+r
pPXTYjsD200oY/pWaXULSjiu2zSMk3z1AyOrClixjYtGQMpT6JxoPyY/5TzHdUjcBnw4Xv10N5tc
Q8gVD4RdPG7Osns9F9/6EueJJWohQA+33JJ8+bL3HtdVblex71OBNFFh8wt5UINjvltML0og/Xxq
2rTHg6lakImKre7G8NcVFYqeKGNTvNkQ75es4mQYpkaa2MADGang3Ivs/TIPTQT53r4hYPNce7yY
KjoQNEzoMKNae6lbK7x8dlvhx1E3TX6OdL4afkHc0T5D9ddcFERk8RNxG9Q2K96YR79IND9cC5Hd
aN28sOTUxDAkBcG3Ndy2GupfNYNSYkACMFBEdlE1gXKL9sBHHw5qabqDKOUY+WmVkAz16a4Y18fX
P/h1hRaNIIam0Q7PiV7O+egQxVse1jK544St7QFZDhT3EkKab6ucxhzkhV/7Nwo+V2OSzoCJplay
ccevMPmamJXFvRtHfYKsLlF7e1i9wXpvLc0UDpp+y4rlCjLMeFTWN/0WurVgL87nqJP+c9rZVXVG
Z0K3pfV7KLlQc6VwUIAz8o4AffqRO8NbhfU32ouDMiTSHBBfqYCfj5z7lYCSbFGnyZsCvUaxfEBG
J6f6vUw/Xv+QV+W7bSh6FKB5/2dDfD5UT894xpwljkBkLt+L0sVitnPaQ7UkpEcD6RsAMcwqXh/1
paXlC9JIpexOM+Fi83aESoOnaDMlevGt9OkvIe5/r4/jb7Mhmc1pyRROc8sQ++qa2FzUTCringcT
h8bdxVxhzgkyKxG17qDvh1gSB5auCmLDulVre3EoekjURZkflfjzoebcGDbTWRG5Mvb2BblXsEwx
MZaRvJVMzGahMw24Af78RvO9mJUjXKxExSgio53kIZ2QiDVXrb7RJrkqHTIKxWQq4xalZIqi5xMS
jVbBRNT4YpREdjUksBAs0q2Owgu7EalHmhYU/KHdaBfLpuY+V4ankrusFvnXIZMEP6ykeddZLRLQ
8+xRkqm70bjR23phP240FZomKO7CYL4YV1/lCogvye+0Ca+vomzLu3xUxj0yRFkw1kO+T5Q+Pxbp
0N44f9cbhdryhuuBJ0qJ+bJDCG7B6RbqIHemWyrkalL1dST3DikY3QJ5XaNhOON0hDYJDrY/V9v5
N4wFJtyZKmq8pfy+OHZxXaifieqT7H2hQS499sOg23cpOHf7pFMr/rKQ8PSH1osRxIwdcykCNqI2
PL1+G7ywBgY29YABwLhCZ7x4TBxz61SpKb/rtNzCH8CekqDfxBKDgbDx8Ppg11uMiw60Ax2rDfdw
dVz62dTopxd362wav/R+6nw0BZzhXkFIFFiuamn1XuZVvNzYY9cnCPlAYhMaf896Uhd7LCVd7rpZ
FHdoC4twxTkl6ohabtys12vJKPgs0GEi+ub6Of/GZpF3jeHl5Z1VduLr/3F2Xj2SGu3f/kRI5HAK
3T0DM5vj4xO09toUmSLDp38v5j3ZpluD5i/LlqWVtrqKCnf4hbxK47OxrMMZIMTRxXN7aDYcH4fe
ZDU3cP/1UB1izU2SUJS06kaNMtSYH5qi67khVolNBrx1onUvoITx5ruIgSkRQuOm68RO3g1c6F2s
umUR6Zky4I4gJr8pliPJx3sriWwHMBVOjafuUVrOaCmzrMYiWpbJ/o0ABZVMY5U/Y3fo3wryRIED
cgsIeaAPRLD69YRU8hYOLkPFHl5NKzZvJ9fNf7++8bdVuQpcGYS/X3XhC6O4t4fcuWLN2tZd+Vx5
4X6cZmQzTwAXKAvnOZDcxq2tI8rrvS1PMgCRF9wKF+v253/EqF2n2d0yFUVUzmv5v2ko1icnm472
4b2JgePYepC08BGfvx6FhpYm6yotomZUnUtDLhZ4y8J/OiJvc8zV05sXkj0BGpMqFuCi/SO1oIru
Yh1a4seqzshXFt87ep1+n4+hp2X/vT7YnUMG4Exlr/MowqHYbQ1rsIde9Ra2hnsqnbl+qM3iiy5I
c3BRi8+ji2aSp8uDW+TOhwO0DbCV9hNqCXsn0cVL+grt7iLKcaj82YxchuxKNAVen9ydI0bOBjcI
NsymCrV7kCS+7nmqrlhR5nBgR2r5F1EZ+VPnHDvbbY/IbvsTIxNTuBuGxd2TKNaVso66xE0kRwQZ
/HIWdu+rVjbnVPgdu/Un2gxf1bboPoLBbH9NshnnUI2TdvC5ubPuBAVk+VLl8ZT66ZR4xuMyeEbx
1OadoT+61qoUSCDrtDkruh7D2Un7fDrh0SfRa6PtSrNn5ojhIUDY6PoqMg/rA6+Ror/zxqHv/xau
12eh7PkgQQ5WZDlTVyh0PzdknUR11SdOQHuwzB6mVBPLOTYN8uxN1rr2qabH+aMC8kQLLJi9LhjP
lYBC82RbP0EErg/y4Ds7BC8EAPCcOnhE+zs4djuTPZJVmB9r+U8rcedPxiyOJFZfsundV6O/T999
QxyZBO7XZxvdxcUtBiQXJ2kYzZMyxq73I1MyurP5SqndV/WB1iENQdp0vZBT/6ynRlKe4Lsv6am2
R+NftcVq8sGN20ZSn11m1COSpvxbgUlrhTID0v+/flRFHwwUYJPwzVt8E9NFW4BXBIDb7vyWo1PF
1N6qSFFy5WfBHhzBtKnaeUFgej6/fTDSKtAp/IsO/u5FznTFXjSy1agV9fDYz1lyTh2judARUw7m
dfv9uY6Q4SR3oxwCiu76wzhd6sGUc0puiNU2zrVeDIa/oiIsLq/P6fZ2p7JEdYfBSFBvYB5O5mWa
m3IVrcTFfdAUhXpaUsPw87hVLGqfh54Ft7cS1zvxOIHNy1O5C0fropdtjmlKVHPOAiWhT6+XNNKG
Sj8y+ri93TdoNvAzgB9g9/arqE9uieX0UkaaLNuTvryrmipwR5fi4FZOnlCX8xd9iA/u3Xtr6m28
OBWQEzHptgJ/vMtFB763MOwyStI888XonlKkUQJNmj9G7vmD9/LOVtGB32NqhrApYPzdaNWGKK5S
t4wIFcSp7AzxZAo8xl/fJ3e+GtDEbQiibAg6u4O2tuAchjpropJuEU8i1VbgLarv8TkPhrozIZTB
wFS9GNCQfV8v3zAmdaErQxON5Tx/TB0veYxzxT4Y5c5HAv+4VSwA73N3bL/ij4/kYsUFvaxsoq65
9NrIolXZ5JszbR1DOdgQd2bEK4+qIIu3wex2IdQsCNVqxH2ihGrQRYK3uIilWL68/om2v+X6Mt+o
U6Rcm98Jdlm7O2MyeFfjzGbdFjJcQvucVpZWwH2zahGg+TJhERLnyXqwkne2xouAHCHoxmjZ6091
jhwqtM+aqC1a9TIDC/atUvFO3ds170lfuQ6R0iSgQThkn2IbGe4HbhfXkcim9dRYsj9lcjxSJ7kz
Ic4tAS/JJEXYffV1FcAt1lZvonUTFioT6X4pAdA/GENmHzBc7wwFbBl038vMIIhd78IRuVrMchsZ
KRYfiojGC0qZmcGCM+L59e1xZxOifU8RAJEczPT2NbMNQz1kGE9EhlJpJgh3T/HOiyGHoyrTvYF4
HC1aLpu6+v6ZnOd0zAwKgZGWYvPi0Os8K4pylInfG8UDxcy7Ba8cKO71yhXFYo5e7zVRmo3qB6Gs
uusrC5C2g2W7vSfgB0KyBJ+43Ul7fk/dla6kVjVEXpwlzqMxL5pN57ZPpvOieFb1kKIedhTW3E6O
oI8XBKAxUkakXdeTm9yZ7upSD1GHpGs0EivQ6KnrND8IM263H5YOFDRgqkNfRRDsepzW7duunNUh
srxRXijSDz6csi6APH5UHb43JeJjdPD4B1zEbqd3uj1QCbcHQA4iu4yGPqO1ohxxX+5OyN7ee8gi
PFS7hYON5gB/TMao0KbyneKANPC7yTKQwlbgdr9+om4vXHI4JGMpkRBEAc64Xr3RsLKuBUwUjXZX
5acpmTznYnQKyYPlFEMaUX7HF3opyuTj20cmM4B5TzcQ8vruu62mrRaLXJXHXBqVHVR5KqoHs/bA
sSwLWKfntpd2fNLteawurw99G1NtZRQ2HM0FlF72Kg6a2QvkSfM2RHii9Z3KWL9pwjLOqNskjysN
+o+tbbQBeL8j0+nbHcTLiS49B8OEBrdnsbSG7ORc5l04KNJ8yJqOl01Pj3DPt+edNeXm2p60LUff
3SvzrDU9yM4uzNX0CxKfjc+/P11R/2vj+/j4+mLeblcYJRsIFbIzNjV7aomWmsCZVBtVoDYtYSsk
yyUnr0DFQzvC+b8IgVyHB9tYGy6eeiKMrd2eSVK9wvROINEjk845SQEm5CTRslNPc5Oa+Qb1BDOw
QXrW06rX6jMNiHH4IlThysACQqj1vilmI/4IkLLv/WQCWndJ0dLGYzwxki5AtgZNzTlzkl+vr9PL
hbf/8eAHKCiTolDL3p3rKdGzSZNNE3ZFtgqwpm1pfDQNBBTORVG5DbKLcYUb1zRjCBHFMD8zrO6N
sTulcs6BVWcjgffaLN14mQaRJOe8p2pS+HNSau5To7aG2Xwq58zQf5gCpMOD0rrZ3xZfZ/Vzwe3p
A1CexSkrhKb5IJ0y6z1AiNV8nqhmF5902RXjKYHbi6QYeLcsBe5aND9fX4d7+4Ugf1NaVumx7a1w
u7FSAZeYOUw1YC7qUvwgWrB8p2neHgM5W/0NWWCifopUu2AyG5rUmAA4h+NWvOknc3zI9XTy5zE5
0t6+PdcOYlzIpaF5zNz2NXXZeR5vW1yFNQ/xO9BB5anQneLgsr4zCiJwxMYI25Ev7YnXJCtd47hV
DelJLU49AjCPelNqD2/+QFBY6dpTviR92YuylQrgKksMMpSWKH62mr5mpzFf8gdLr+viIPC+MyU6
kluXZWtIoC62e39WrTIWTchwle7PDUIZjrzy59dndHsfwnja3hhSCnq7+zo9KPLaAnXShijbT48r
6PXVr8euT0M1yc3fsa0M8oDWd7vLt6YrfXlq9iQV+1sRhqQ5mA1PjCgy8XVuzQmBSpwnzCAnspwO
PtmdCW6vCpodSAWSEe52ujFJSey4KcGBKhn93LJlC27QXutLspgCleVsoZX9+qremyIKxJsOFUER
6IDrT6criyf7rujDpmqajxA3xs9F7crnbKnXg1jhdpdAquONgfdChZtr43oo7OYxGEIaKjS7RNX8
FtFqKHJtu+SX1+d0OxBGaxCrAVagRnUDE1K0dB5KZe7hPPSaPxs4FvaJ0bx5P252bpzirRdB3WP3
ErhlQoHZMvuwEtWvxJIPWjm/n5oevs2gvr1Qv8XFBOFUPAhd95eGVOmEWULp4ZL1xc8BbPUZbPB0
kLjfbgZGoUlNQx4ZR2QWr78Q+k5AUlU5hFM1V0/ooTn4xdnzBkk8ytXvfCMKpcxpU3on6t9+yh9V
D0cVY0OdYAqnJlcC4Bm6j7r88OaLCR0EXukNvUQ9Yg+empWK3odJfR+9s+ZcK2r+QdHW9SB4upnL
1s7bLicEQrZPtFu2DCqTg0HiFNapVr3v1Vz4Wle7B5fRzfUAMZVDA0yINsVGML1eMbNIvVQfpinM
DYf6yaCp52oAcZgrRfowmcmROeLd8Vg+Ugo6YLj6XI+nqoh6GajFhPGceJ+psE/nepqb36Muckz4
Ylgzrx/bm4CeCeIZtxHWtgBxfxW1Cir54M5xAJaLeU4T8Tiv6c950h5IQT9osf68luZReHF/UE4W
4t3UCaxtFf7Yh1VlSLVZbb6dqv70nDWgwdj6XeMtvhBp5Tt992Eqp4MwUtuu1aswcpsrRQOyB9BD
RALXw0ojyzq9reewTQDvj5p6WkewnV2p50/4simfs7YZv85VlYLsLFvzsy1N8/ccW99eX/ObzJHf
Qdb4/yv8m9Tz9e8oskWCzbbnMKlMG4HdQZafFNrLSdDH2L9DcaqUT9ByyT5eH/je7kLc44WYT5Fw
r36vzQPlId2bw2EYl2BM7b8l4NvWxhqur5O/Xh/s5l5jlrgi8PJs2pkkbtezpOZuT0OKtKOgDP9h
mJIYXL9i/4xj6/ebRyIXBUAFY5V7Z68fO8U97pUryp9zZdPMqluobHi2hPOo2+fXh7q9dRgJhRTe
ns2+ZU8vXpGLLRo80kIPYPsPZ3DyX3krj3z07iwdXVRKclzRm4LwbumEpmdyqTI1VN0h+1g1hfNU
lkr8UR+78iA+uB1KJ/MEawtFlj7avtpJ4lkYVafOoZs50zmL8RGddRhGIq3fzJimePsiYEM+wQO+
z+IoT2vODH8orEc5fnGKePxBqJceBHS3h4vHlG9EbQZdQgru19uumdQ0lXmyhNoql0CXbvYtSTfZ
t9FQLtqQguIGAnXwGN1bRbCeXKRgWQF/7cIS+HzuMpvlEqYJ4EcPJtL3kVX3lTo5MvG63YF0BNFe
2Tr64J32xZ8kX9pOgwMXprTAH4sezCwC4fPp9X1+d0IuwcKmpY4Exm4VteFFrEdbQuSfvy7I/51B
tUF6rXD9fn2ke/OB7LHB04izuZmvv1eqF44jFmMJ87ldg8TzYt/oYYW9PsrtzcenAZ2HBRIx/g3o
dxUIadjYrIW0vL/UfRP2dD79apH/NWgZ/l8G4+huqF+mtee1t4VWuzHEtNAb3AWxCzxSv5pAgOE7
wRWNPIK9I//mu/PjKd1iFXTP9zfGxqa0q3Faw9mF4hc0djsHUoXqIj29A8pVvdVIhcRFo5kFZJyP
xni7z4YIvrssoD1CN67aUEMn/DJgOI4EobccALhu9yJDgREDWIWaJcX+6x0ydaXAiWOxwo3G/0Dm
8p/dGvOZG6o9+HC3e3EbyQD+hlnH1sS4Hqmrlzh2JTKOuqOkl7QaTLSbqLC+vhfvzGeDD2x1Alp1
aBtdj5Iu1agNZu2S4OrKeSxb5ZdZwjsyEsf68fpQt9uCRSP7A2/kbl5ju0QzL4YO/xHU7RrTAos2
lBDHC8NIzlos9E9Z7SnfXh/wzgoiGoGKDQUDFOH2LbrWWD1sGkw7XJXMeZesYBj61ZwO+mb3RnG5
NLjd8Yfke12voNVCLczrwQkNvJG4Zb2q+kvN8+LgVr8zDMXSbdNta0df9XqYtHVzolHTDZciTc7K
UJR+SS/67Ztuu2g30TUqRqAjrkfJKq+3V5HHoZYqjp+X0jsPhHAHm+7OXLhfqZ5vBXTG2aVLdaWJ
nKqeS+q3iN9Wubof1DzJD47q/VHY3Dr3Hs/G7gDJTLRab+FxWIulf+cUtXdK0ME++Px3DtAWQoAf
IXGmzLZ7bZM56x04mW6oIqCGHJ7ELTMtDMSr8yNh15eH7jpnoLzGM0jZQSW43MsK2VXWKAkuZaFG
JpR0z4hf+r10gJCA1x5c7XvhQIoufbVK/DGrT6xLgN4DFh0ZApzLF+F0eBJ9X9yv6tIFpcBjEv6H
XX4Vyo9YZo+ON5Unacx/tcrv14/i7dnfbNs5/1QQSF/3r9DgJNmAs0LMtwBJaRRNGk0NFmJGY6IF
Ho9Hngq3357x2Fsv1TSO/+5QkqYq45LBIKoNdw6bqapPdKaOQD3bPr3+HoDsKQxSV6CCRsn4+rRg
89JD31mRCuyaMSQio+OQwmv3YTp7H8Ge5ZHRt/LZjr3qB1nWdKAWd2dVGZnDSul1Y2ftdjiw19rG
CiCJ6C6IEH0N8ah7NBqI11KepOxI5/eWEkfV2mL/wdjYGjd7wWi1S3UHTbgEX2SxzP9p7hLbz0kF
KjawZukOD/mGWHhceWmU0wJT87dllRuwRZiFe37zlgIWvtWByR55+3eTT4cMjnVdiEgtG/U0mpMe
afiF+hNKs19RAj29Pty2Y3bfmiuRTiP9dxrPeyhBi0IenRvRhnDu03OvtWY4z5P+5MlMPgIMzR5d
e52+vz7o7QdGzxzqHckKDRDKwtcbTF8qJ+ttrw/bsmw59ilixBARndQJzXZByS6v1+6occ1NfDNX
cjBcGFGQBrF2Y5QUi00bmS5qmHSDqwQpYtlj0Lbd1J1fyAjPeKCu31zNkE5QTqrMfq5eP9hnG57g
h36kbo0alKrmp0pgtJBzH4k4L7mBgLlQvGrgHucpKtUBVLvS+pauTVz7Q0LA817TR6P17QHeUCi7
wcw/tUtRKz8rhdYFvezZGj56c1s7p6GssvY0WelQ/1PMQ+LQDBBdQkbXDGV9EjGs2i+LrljiPNsK
9Vin6MbyrE6uGM6eRIn7YsGe+qZMvdv+tFKR52ecCBzvbMtBdR/seVPyQE6g/d1C300vMoGw+JRj
AJvxMx2YZOroOdC98EH8mYAz+QEdJEazBcT95zSfhiHQ1s3dDn2WQssD8D1r/aCnvar+TzG1SXnU
mnXtkDRVmvG7bpIp5n6cFJ56xsk9135kk+fO74Ukj/hdb1jmhM7fMuf/TUbcime9QynmKVlxlkMi
rWinQE9tZDrSsUi+Z3kmtIe8XEsRuIUEnkQlx87VJ6HWLh3TOVuymbFzFJyc84xbnHFxcsdpwmF0
ZvElV+skEb5H2IFngel0LWRygicf7J02ffC8QucoeHMug3lMYRC2VHP1By9rHOeRaedDYPRq2nyM
1z7XN5nRqvuBYbfiIUWhr80jfkHxv1Lp1/IHlP3kXxtNEnFOUXBP3jWN5sZNYFQxXO+pKyD2F0ON
lkVHoQppqKHupD+mg6WeY5rB5WnCN9REEaVT1W8dQW7/FThJon1ZqC2nn0EL92NoWEuHsBJi1zFy
8DUSMCIrneGcgg2VH8ciH/9aDTSk3/GGjV4gUAVKThkWfCsN3QmtK4HUVXsaCsQ4zp1VZelDXxXD
/LSgTWCh+1AtzYVPzR4zdO6+R2OtWxzJ89kWUe5k+XRRWXvHT+GNO3/RyvaSf+WsDdlJmyxPQm8p
WjiglVrWH2SXivq0upMsH2XjdPmzKlT9f6nI7Bx7cUMkYd3PEvZIJxx+lEAc+b0UEt4+cjFFH9Sx
on0ezcVtn9MM5ZGgmPTReq/z2WkD9qgxPDt6Zr9DH2rIfJkmefec0PvULkgIjs7nBRqe+JbWcVl8
SD1ALiewQbL/KZOlfI8CO2IlJQvVP9SOliiRGDO43qiq2Nr3CqPOv3LkRtBULpE4e6+owCQugsbI
8oAz84Kmiu7GuupXmVFOZ8Pk9dTCoRxG41s7tCL9OlnKon2w4gYR0hwWYDUEDUJ9qeLjibToZ15Z
rEVmb6YlTllKxtHsIBoVrCla2e9qZZI/UmpUseHHRpm9a3Kte56nekQgvJxL/cFpe8NSfBeq309a
+fFcwyEpvLHwkSzjyjuhrySSzyRgSXqycZ5qvJOZKE536ay+6mo/sUaFWStJHl8MUGbq+6Xgdvbj
uBzicKE2/gO0vJsiS+VZ3wm0UfkH8DihOyRG3Q7gGSvUOYV0cTWkXilPs4KUFlooZbtwHPNhxhbF
q1FkcxZcwjS3AwKNL3SVnno5OaHrtZn3NKmi+dcQbPOnHPWx+pekhOeGiuGWQPWXPPutCzPNfsL7
idunTpvHf2DEuYZvIBzl+ZPaqG6guMlonlYrWdyHkUdfidIZG6P3qjcnRigk3/azNeJ38KBkhlP6
lZZI8SOZLSpz1Tq386lFE0MilGP0ZqjmbmwAtXOq8p3Kg7ngBTJZKySWPkUTVdT9FExN0qwnZ5hd
84PA0/IfMJTjj3HqO/X9WLq5ixQbEo1+lVbL+N/rT+qdGAb1+620zKYFNLQHH8qMbS7q1YA1n6ln
+FjzSVnN6h3eQCI0UFd9QEPKxF9obN+NpkT6BdPQy+s/4gUJfR1NQKfAfh1mBT6LN4Y8oOhaWQvT
CPM+Ke1gXpO8PBPPwJ2axkLC1BK2/SSHDvrPVJJBfTU06TTftVJZPnIZVfJUpeuAxIextpPlK7GW
a2UgdafKxNlw+8JwfA5mNUSu2w3ISICE6X7rOWd1mit3uMRdNypnkDSz50vIW+aFHeB9X6TR8qg7
GWAufx66vg6aAem2SwurQa9QtqKP1vr6bE5L6dvJ6PxTTlq8fjBpzR958d6EP5seIxzHTW0S9vi+
2KIgmpeuY5VGFZLjRqDw/Lc+51e4D0vfoHw22HOhhq9/m5vUgUE3gh6QbBJh2jPXMVcCvG5FhSmN
ukQbz6siFwyTuLn+D6OAmoOjB52bKvH1KLJZqnV1jDRyCjE9uy2lzNzqrIO53AStoDHIFrfeAFAr
UoXrUaYRs0HTqU0COd0iAoADEyhoGTxbmdJFBK1eyF4/8j26XcFt1A0QiIUATdddSjx61CXQ6jJD
iRBcjXoQXis+RIv5oIxwb3YwHClz06KkA7L9+R+du9ygZIQnixUCBBnGM+/pkH4eJ602Ar2pF/A1
RtGPT6M0lP4gG7jdmZtkA7vEI+/i+O2maElUytiNSMGs6T9DOT237fi3lzv/CREf+R7eH2sry8Dw
QgJk+/M/pimrxWoGms9hC28NEaU47h7SVfVwoDBQAKBS/fOte5PJIaC2cSto/e4BV4jCLZauMLmp
7JvAk9xHSA/Ky8Eod7YJ+E2KnBTOXghm1/Oa2tSJ60r3wtqG2XuG8GXqfqUDLAssC7G6YEGXsX2y
UNssTm7drbzpxQIlD1Mt5UmmqS4eu9RKzJMohJVCn/MMRZ6tVc7jKXbaankybZkicZU5oxtamwea
HehxiaCaUnRu+r3naNoXHanKb4i/TdB+1aRbA6IVo/umIavVf/PSOYkfGlrEQxhnY9KFVp2nPfKG
tpOfSrClRMwkfujQ4ICDNGKbuCpeyaLs+T2FskSNtkK6LWapNI9WnGbrGe28+EdjK8Xoe4M3p2+t
4YH32oAigAUAwIBcul7XTAgzE4WKfCiiR2lgow8Hmx/JzQM4wu33YxxqD1u5EHDqHs2TzJo+SB11
dc3ustDrreIJxbX6aJvwa69eym02gAEoexIHoRp/PRuDFAACAoJDSLTOj4Vw08A0hqPzfFPF20ZB
Ynir41Jg21sDy7YV5PzsRRBJ1Q+JSO/ZTOP+U2144uBOvl22Le7YuKlUczcg6fWEZtasR71NRI1R
Fd90fZTzxUlR4T2oj2yf+XrhoKDiLE/LDFQDB+16nMWcBr2elCxa6dLgl6hBtjgRNkIj7lpzXfwW
rhsuWY4y2H6Rl/0Bb3T7MNfjv1D2NwAim4M24fX4hlUXdtVS8sMVcA5QzkXv2EkfXWP45hbj0Xt6
+wFxP6ZCovIVqZTsy+OQQrtqqJDwiaX8panFdKkMuLerBRr94N66mdfmEklIQtt9E6Pavdx2gkUw
nVyi/CKl1FaW/1rV9GbYEn8zjFuK/fQnALLt3hfHrlO9TRWFol5KWjPOBNByfDO9jVFeqsm4rNgU
0nY3xZA5rnSKJYmSai7+Bk5QR7NVHGkc3W54iv0UgxwPHWpKILtRMnAWJOxOEql5QZ26qmMvFJ19
5KR5Zwds+uRcR7SXCKl3wyRLO3T5UopIqYT5yVoNI8Rsa47cMdVPr2+Be0OhxEXllWrgBoy43tpZ
Xwxr1bkiQl50ClRa7BeEbLP3SM40B7vtZeNeHyN3Y86b20GGGPWCI/rj9W+NDh1HDVbslNXmeBo8
sxn9tmq4cgtroLgNXLktfrWVlmm2r2koMvpz0UMctMSCmu9quaJ47kEdFE9yTVLtYq8VXPMKDxg9
NKZ8FAdV6Tvfm5/Lady8sshvdmEZQOO67xstiwaTGuKjRl3aeBzWlrTz9c9wO9AWpQBw0IHZ8BLt
vrhtlmvb5kkRtW5XkyOU+UfLS48MrG7vsW356biRhtB42ecDeW7iuoEWQzQUavIewcjNL7kbEbbV
YNaiYRrLg5v73rxAEyKlAU6WZsnu8JuYqGZYqELaHVZkuZDgTc9pnJlvv2Q8sJcbzphNDNp9t35t
hveskTow+6nPR1T/QmgF8uAZuD0r9EWgr2whpY5w1e79bj3paLU51JE+k1wHrTtnSH4N+vBJBT97
5NO2nbzr07KpqnDHELo6tLf065OZO+sypD3cYLdezPcNbISVSvmglKiFtHHha6Cpi7/FVFYz6L6Z
UhT3OdoGb96YW8KF2Bp20huk6fpXOErckTNQsHc6O/GttVCe0dhUvr55FF4i0AHgpbYoelv5P26G
uU5lGdtWHMok195BOul9nAXKg++3ndY/V3TrNSJJA3GdB4n29m5FY7dRy3iCQY6wxSAfPHhVy2NS
qmPuozi7To/CRRbVr60Yr97XJ7gt027obedQqCG7g8qw2zqqnTjYpjlQbJ3MRSZ21qi5a/rUo8bv
iNYXPFaaP6WDSpBNv/Vg+P0xZOYWZGwogpQCIPDt7rHZncalLMs66staCXp9mgNdXZKDLvWd9eUG
U7eL5QXHt/2KP74iyXGClcpaR8WiNf9DIbmqgqrvxvNskcag76wFS5ba/3vr0oJ63rCDxGZcNXux
inlBaFrTqjaCav5v1i7NZ60s57O6dYHj1ckeAAdNQd/Z7pfXB75dVDQkQRGypdD4oLd1Pd1JxdAB
9Yw2Sg0P1x+Ig+9lX+sHm3Z/Z2/TokmHueFWhiBnvh6lUebVqcymi3By60Ph0pgbem26ZHoxBYtp
ZA9vnZVBu8wjngcBgoDPblZDgXwZyPAq6lTK61Y/gpinHHswq9vzAAEXLtQWfjKzPTgDjWrXFaor
o6Tr497XLYq4gbTtuT45hRaM6mO6Lm0btoN65KT18spdn8WNf04zkJQS6NReVKdprGxAAKSN4mHV
k2f+728nKZKLuQnKnzRw2YiAdXIr7raV3vl27i3NY9Ynsx1la9PnAYmxpvtAMfClYIYkQJkHwe+s
LO6aXTx7GYp361aFTnz4m6O4lAMqN++1tFn+W/vF/Ifof6wp4LsZOr9JPGdhaxSWE6iWQiEXAdi2
O7fYjhZQybU0fohnOWDdkPTqt54aOcX1pkRbCaxmP/uIVtdToKhunPgz1sROMMWlYT8tceHF79ap
t6sLN+piBZ01LYXPJZV1j0PWWxoq8JWOsjO87/brjBq3996LMd/x00Gns9e36X+GMTvi39pY+/W7
oZgiewQ31kiadXhRopgmxi9NabRVNCuIwp/KpPHMp6me1fhkyGSOQ9UcMRBw8Zoen2lFGN/m2GPd
6pIKxQnpBYNOhlKgBKs0tvUTpGvVRXNXjT/Nzmh+61JNrVOLfHUZ5N2yLE+icMFyZxZpblQBpXur
rCIvEH5NhKc49ADx2r9Fdt15iRZLqs2Ft0R5jiWv3fXaN7n2aojXQP1RtkAofEreR8Y9+wCDGs1m
ecmY28EA03t91nOn5voeljYirM1c1qxdfumN3UieBm8Z1yMizu3dQqSESByVWxrzxIXX4/UunV07
ll0k0SKzH5pJsdpnYy3tPEiltL+IKh/eatTNHBEWQEyQR3Cz99zNMQErhZPdCjle4ylCtrH1FYNs
LTfWt2qsvQxFmrbZB23spt2jq8f1woMOOb6weB+2fph8lEgp/agbr8GFwcuHy+uX550FRWXZAq6D
MOSGnL9e0BJ667pSa4+EChARpCiUu8ASbWWc48TsPJ7e2jrSALiza16UalhPxHEgpF0PutBI1UXn
jFHmYuPup5oan9W+R0Iph2R3kBHdztB+eYzYLptT8V7gxaqESxo3TxFxb/GJNBhDcpgPD3Dhpo9D
nh1FLnfG27SaIH4i4sra7uLPOJ8RQdP1NRpNXSZ+WmLk4w8qnHV/FeVI06gr4yO86u2K4osJr49/
iElhdV2vKF1EBeefUY0my67fF3NVPFR2In613NIHid+9oUjK0G4CjAPrave8653em5gz6BF68ulf
tdLNCKrTwI9aqxoOApbbsZyNPbuplNAtBOt+PS0htXGgRmNEqzENIWGN9iRGrJwmB6mxtx4EwhWC
Hwo+REcovlwPZcoFhZFU2MiiFDFpw7A8V62ef171XpyRsevfPB5IUm6yTcBg02zc5Zn1ItAxNxU7
wtYk8xWB0EaZ65dG1z+DY+kOujUv2pbXIcQWO5ATUaTbSGy7TGKwJqEpQFSibER7L0BXYCyCIm4K
5XM8FvEMJijuVOrVOYXxWUvQiZ5Ns04eFBUXve9iVuv5Qu3X+fv1Zd+Wdfe7dJR1oC9QrKZdtdu4
lOBybahQHZh7bAlKHGouuuIkB9Vy2jW341CWpylGfRIm0l7gEYWFjreqF+xaAbqp3sQIH21sEIwv
g8w6Wpttb+PcUeEA3j8sMaCrUwfVbqHLYcvm1+QYxXrOm2ZwTognGOqnvncxShSVO32t18LVv+Vu
Xhgn9pbE/UXVZusy2YVLm5cOhRLQP7Kbp2aoYigNc1rJv/qpU5t3hSHi5MIdldenRO/dj3gCZ945
3oySvtl0op/pCnN36KiVq/g2IE7+TH+lxqoNgb7pKfdMWTwRoNRRDZSLfjKBvxLgR+V+K51p/pvk
DCzN0tDOP+W6O5k+TdHUDsBmJIaPGQkuHu1sWL+7IpbuI8jZEuxUtU44QyQt9NPWLZT1JLDrLH4X
JgYTv/NkXIdwFEYen2iMG2ZUxoABL+sguMPVISvXf+sGP6MPMBiBFgvkGsuLAZZC/t0VokwfBrUs
eWdiLme07WPMuXoK8ilPHuScMSzgeie4vOtNNiU+gmRF/0hSbzanTCvND06dDf2HKfXsH4ZTtcvm
NU4jP0eUQLlYs4fwigDL4SJV0MT0IG0njk+tUYpP2OBV3hPoHVx5ZIsGNs5GyUz+tTrfqUAVTVAQ
6nRnkk+nDJ0470ycCKdanuNh0tTnvlBj6wy/GeiZQIECZocjS2wync5w0IqUoo8vlad277HxQ34Q
6JqiXUbYWv+gcapMgSSiVZ/puFsJ1FEP966qW/4fZ+e14zbStesrIsAcTqnUzQ6229knhMeBORaL
6er/h72BDYsSRPSHGYznyKVipRXegFOO6irzfFBi+mT7xRnkP2totOak6nnzZcJuxwsK6pDfvDgz
G3L/VI9PRuHl2sHGgqr9PI/QjjYOzWtKszqbwPeXKiukCwjqy0v3T3YcaWOlazMpT5oYKMoUelL9
TLTFfdxC/vj36KKwfIhw/vilx2n/YCQsb4NLi72fIro9O8PKKvfYS9V7MTMjSmkMExbvzNzUvjhS
oRxdh+ih3LvlwGFBqqYLT57QprdKPlADAktAyIgqGgW3dRHRmbo5sqyqCoykKAArle07GxOqjQTx
yg1DM9VaaALULMCKn38tTYR9ZrdRHXQmKGB7buNDWDftySg3aUXXhmJCSxK/1EbWGXZeODFU3akO
rGkosaZyxvdzpmm/PcV2NyokV+5n51XvigBxKe2t7ucmbYk3bK8JWm8wn9Ak0Y5iqJy7t74CtCcQ
4UMXDzIuD+35t+Me6zEDzJvAdMLycXSr4pQQq745cllGYXmId5ea2vJZ/9nPePBYYjLSJqjHZHoX
Ra0CrDIHQ4hW7P7tEzKoLC01LO4lY/XZiqhTLD2O26CWWnFwC1vsCQm3QrHLxaGDScpnQDCj1rn2
7PUUlIIybWyCeawcXm16LX1oxhuxw2VAyyiuSyRmIHoObOb8sykUIM1WJFSNaFw+olg8nSYN4uTU
6v1DTE339PZvxzml5k9XgT9X44UWqAogdG2Q2vhu5VVkHGq1bzdmde3bmQgVG5a6kFDXG7ub8lKC
GlhWKEkPjSxAedbOFgbo8qQuhgNoxLPtVJKB5Vf8s+V4SoCuF2nL2yztvepI7670tH4n5yrcmNBl
gYqhqJhyLVA85Q46H8roDKKfZGCZwGvtij7+6vbpaR40w1dndSQkKQ3s17SX26t1bYZIMFKfWij8
aMidD9vldlaGtt5SF0vTHSKnKg6VeLMS1m5txGtD0dgiXWW4hdh7PpQi5x4fAdxMLcXCEQ0RZ9pD
e6cYh/3tOV3b8cu9umRUsOCt1UVhe7FijkPRBnhfPzloWQHGSyQimkXBjRFupcMXbUaSRZ4ONH7h
rS+qwqvrr+hSJREq4w1Rlj5qSZe/i1xH3ikeHsHmVHr7XBJmKmTNXwdg+c9DXOG3iUPttzDqiqME
17CLDAhwXpNJ3wojZeOCfvUsPo8FaFchTrnE6SCG1mC2UYx6rqR4E4ZFV81Hz8qISb1M9ZIdaWIJ
WF1t0/BoNaDZfbdpY2Xftpb3ORbD9NOdM3vwY8VpLT8dzGo4UP62R9+JPC7GRLcQyyqZiO0LbR5G
f4QS3/k2vpEfko4Mdu8MqZWi+tNV8cZSL3tmPS9vKf8DA6R4vPZqJjwMOxUwbdCg57Rz40EeugJT
xjdvqAVshYoRwqXsqVVNIIldxamsSgRTqHd7o4yTlwYpHkwb2uo7Mqek0G8fkAsHai7lOaSqjfOj
Aph3tsToiiDCwQF4McaTaT2aH3TcvP9oaRhuxIoXR1OjX4OlCHkN86QWeD5eQ1YJJGnqA8uF+O4b
es3VPbfYUe7s3jE+3p7dq6jn2aoxylL/Q5vvlYG1OqBVJUK7wSkXBW6tVZ8b2s8DXIKm8MB3mWWt
+fEw6e4ugU/uHDq7sYr/sH6s0GgPJ1u751EdnYepc1Pt0MRpZn/rK0Tc/KlqCrSMhd3iitRoTjjv
qy7svWCOQ4zpSAXsRAdFAZK/eehFPsLV7dDNftJaZSCfiQYN00QZS+9UF4Um74mLu3gvpsijsj4B
E1bfj2Mdil+xQsr4u8RU0vtcGhXJkKmiQ/yox3YmPwxt5/y2tKj8QUl+6X8Bk0dtLskz+T3l3cTP
vjEyz8+x2g0PqZ07zyMIlfyjkZjpf1AA3E/mQgp6702zZT3KucvHx3qk7PjW2x+uDdgVGq6sPudo
OV7/vG8j/BVwP70WNGAFDp7X9X6egOVDj3+LA3a5xRgKzV8EU151NldbGtKUi8GwrQVFmqefmlIR
e0p4sAykkeYbUe/FA7CU0okQUXuCv0j2cz6taJwwpy47LVBG0/rrDV0MxbNzzY9oHManUqvNrR3N
X3i+oXlsAKQjfbdo867FNxSzU0DXzUaQcH00h3GaRXKYZ5G+F3GhvVXAntuOUAQaIUkdnfp17alM
2BpNJawgSyJ1j1qo67dqH/uGOv53+6SCrbucGR8S/xqXFw4V4NXV58aj5yEIPQdEkEr8U+9Gr/9g
q9MwHyiKwckIp96Id0LrGvGxhW7zdUbgsw+KBH7QbmCDw3+gqoVRqUy8R1GaPdWC0hV1+6yD1PJc
XyhlP7/X4LPMfoQkSPkBc8uk2pVjYz821O8z0PhoD+5nbUhtX3G0CcLmnEGVyIYOg6AoQTbBr82o
HqGl5FF6BPgyZXvBRymPXDGT/jJPVezsXW1y3Q/SbGrUG7LOMuArFC4w/T7HGLbjhIlH/q/Mj6Ni
j+MH7vxw3vXSghukNq0Iv8eGG/9AmZD2VRTPVnoMvX5QTzoC6vaPQk08AzCIVykv+B661kHB7DU6
WtYMdBUryszbNXTs8Q6e8ZN/rHLX/ln0sgh3wzB6mZ/OI7QEi0T7r9rR1uOeKDv7hEtQOey9xEq0
e82I+g4owZQSQxRQALR96hR5inNat4BVk1pXwj+QHDTTTyprtPeiROPqWBhpkmB/PcWfMEbHTBl+
m/e3GWZlfsqrOn+uURV9IYrBD7iYpzw+5FJxfvRU/6D/hciV+IPVk53IbulQJXHi/spmdaJ2ItM5
8edJrfWjYOtj3Rsq8S90scLCb8Ae4WZdJYn2PVKGvjrocS7tU9rK2d15XaLGu8rNc8jY2I7Ath5t
9SvhR+e9y3VEP5+GSWbV0c1Tmd676APlRzVG5x3LeBLFwdd7TdjvrFiPu4OplB6ezQkpFUzPKYUW
cvs4rBEyy8Gjwcc/AMrol61rBBDMayiINklH7c08JG6HwbARuyoYgLy0afSQ+0y4VnR6choNXBh2
fTO1W9jD1/xzdd8gbGFhurgUR3i1zy84mG90laBUBpolDfcDpuqxd5fNxBI7UxpqfVLAf2gPbt0n
FcFniwUnFRSrR2A7itJDl5Zj/w7ndbc45VYZFqdGUTFVXiRp2j1NOCv2e72ukdTySuV7EdaTQdGz
z7xjjelrv8vdrviayL7/yuOM65kjRWHu+9LLxp3aK6r+oanqRv/QFZnx045QNz4qU1xauyqvh+6O
U2skT2bN84OR/SQm1e/KUoK6rrQm3YhtLheNpqqq04CAkMKfq4fHLXpUitocr+IqczJ/ssrM+ejR
dAzvR8gVM7Y6dLz3SaEqGabpLYIyvpSF1X27vXkuQlWeV1jfAB3A20HsWMVYNTy9KDE7LxhxLNh1
1Lno6Jpbci7L33K+M4juX7nW6OlBxVk9faOHK10lFC/os16fjsBHcYqcVSxuXWFlj4ZZGsUh6kPh
bISsl5+ZFJKAlbBu4XmvqWElzf+xLdXsoW36nq58cuw0R0Cu7e4ZdMZcXZT7Sk1OVt19vf1lX1u4
55NexqZmRoTuLuCx8+PgxaMrARdmD6oMeyq+et/8Ulw1e7HTCImHKFHF57RSkq/gCer+bnTjuN4p
CloTWBdV1uNE1/Q79AKvBC5cDvreBc4rDghtjsNTLNUuOd7+xZd7gSbGooGzQKMA3a72JODnHIPi
OH9AJVdisN6Mp4z6/MZ1dbkXyFc8Wu3IywJyW8NfqVmYc6Q0xcMslHAMPHiMnzVqTsnRTlTMpquD
N47T+9tTu4y9qDmT4gN4gXpPm/F8Ley6U+tBL7MHvAKcQzXa+jfHKBXuwSb9Ytp19VYtTKx86Lsb
EAIXWqJxgXTLLCMZoCc/aEjV1L7JDY1Dq7LFp7uyZK/6IYto+kILW4XKJMJxOblD9lBbiKxNEjxf
FY1bYIXLJaPKTQWBOgLqDASv51/Pyyc3msEoLNX46U6ro+ldL5z6/SSk+JDlSf+fpXbj57cuGR+Q
ZjB1J8CCiLKfD0ojwJR6GBUPbp61p6SOtK8uule/PKXR9lVfaxvh+eWnRKQOQWptwQTDN1hShX+y
jo7oSUia6Q8gvmo/mSl+EmYWu9uzWv6W80vhfJRlo/4zSqaZ9IYAIT6oiRm/s8G4I42OL7oA8/Xu
9lAXlFTgh5i+8h+E46ixritA8ZB22WxP+cNQiPavnUqPJzXuaov+2iyzuxa7+PBo13SoDnNqxs3B
tkWifKSwlLm7sNTZSGXijfg15QVQ9CJy+s+WXdc/ks7L/3ClG8hHTLQDDWGK9lCqspkAsSEZ8Ez9
bABK02tKu5vyRkZ+J8wi3xVlGDmA2+gt7StNEcYBj+3qp1LLWXyQ/ZBGvyIc1EM/VHL5GSO0MX2m
aL/pknexDhQWrUXCjzo6utMXWiPaYAIhi+OgJSTZWzG6F0K2+qGu7fStS/461KvDIWwWel7nS07v
t8BvLYoDYScOKqsm8WcY/yyIn0+3V/wiLVpG4jEHNUUrjOrw+UhZYqWmV0GYEDgc+WB546+2E1l3
Zqpr+7GZJGSQYXhwJ6/duF8vDs/ryJTxqdYQRdirORZo1rtDzeccrc6944Sppw6c78Zrfm0UGgaI
WOFMsbQPz+eHZR6U07lQ7t2o6Z5rd+yfwip13voMMheK6wgAL68h/56PMoN/VEAfK/foTSfPTTXW
D3lnbaGyrszFokPAPbO8ggDezkeBQkV4nEmUfrANcE5J1dTvdfA89t3tPXFxdwPMhRNPi0qjpQbH
6XwctDMGFDnSKFBstf+B9L77HWeDDk8DOU7Ox6EqRH+arSzceuevnDBQNowJ45I/1vhSMtKF1BMq
EPDaBWaWxDU280VLSaD1vGTjsrv2OXWKksSWHGaS1dU0M/LYEZRpIDrH64+0yvRqb1U2V87t73lt
IIobyLWhUKReMNjrMIuLPAwZyMNMG+ETcUerOf389lEoHr9yVJZyymo60D1RDC6GKJCO8sdr9PSQ
6eEWE+nKdUHP8v8P4q6OE/c7DDzQuVwX9vS98ASFNiuU/R205/hnk3TGrtHsjCvSJJN/+wQXkBUB
BeTJi26zSmeil24FZLgW3tHhRfQb3ME3sqxrm58LAzoFKkawYlYXYoS0R9/EbRxoziSOVV/JfVO/
WM0zuvXmMScQ3pjWlU1vo0C4UE4xeoGxcr4NaS9heGmpSaCHpvnTM1p8V8fRnvUDDY5pyxDiygIS
z1K2XnDq1OOXvfpPMNGOEcQsz02CKaHyNcxIf+CDWe/73KN/o6baXUjZ9kuaxmm0MdErx4BLC51Y
vF5A/19w80qlEVqGVhckh+EOFQdSF6uKNk71lc+JnRMBJz1v2AvrFn6DDGOXJhDPIFZqJ9UafxkA
xw51m7hvnw9QPSRiIcRQSlkDLZpYk4OcnDQYPdk8Z3Wp/gCPlG5cxq8/+Cz8w8d5of0tzW9AW+t3
cuy4K6cqTWEzOQp+EPDNhvggrKWzMboOSknc4TS+5shQrGjXd8o0EjkBe6f3OSojHufNIPZStym9
zfGA7KaRuhSWdHTF1H1r1p72UNVx1+1D2dEBUsH9fKlcr/wri6aHcuMl5ucZcJT5lLZKYvozNsRz
u4v61LI/wmUnCiyy3tKPtme13Z1dGHnzvsxm42scqcD6b18DF3kZDywcBCDQNBiwDFiFw8D6eYmj
AYtV/EjRyhHTXuAz6E+K+pzIYotfeLmfCD0wXyJ4oB4BN/z8wNQxHZMUWZVAlHAF1BRdGkwNcx/O
/hYu5PKAMBRqa3QVcWAi5zwfCiJj2LQ1LKserdZja+XRqa7K37c/3+X9RvPCQ9EBnCN7dy3A2pqV
HeYKKqhT4SYH0xvE90F388eqqLQ9OrDDcxb3W8qPr2ZO55uY/Ut5b0EG8BCuScadmU0NdQ24DiLL
bdvPBiUSz/oCT7lXklKksZ+Zg+c9a6MeF+9RyKpNoIaWQEGhVNUw/oRTaa9+UVI9m7+XVa88tdlc
6v7I7k12lLvbT6bZT4/VCLcQspSLYlckylL4Qx3qKBuZJWw/tRLZt6xC5tYXKBL3pzhSiq3U9/KK
hda/yAhQHQNJtC4c1O1AkGi3bWD1Tm35sVt1D5Meqx9k1E1f1L6Wp65L5+GhiCdhbFwXlwBbIlGO
BoZz1Cw07o7zTaTp2ZQbaU+L10SMbT84pqBdZMyK/VKnnsw+yySvxWOTNW71wqefontNZuUfAN2x
8dVuxKTv1IQS7MvtfXe5uRenLyjmxD9UL9fhiUfE6nWuKAJpUK/RJzG/09B1+Ht7lMvTCqvMAzlN
w5nO2dq6JHH6BPwWXE5nAsLv10BGk90YkdTeQT+dt7wqLu+iBZuB1jQc3YW5t/rY6L3oxhxymLAO
rsuD6Sq0eyzgs/Vuju3xq5UZ1q/bM7w6JMtqs7m4ldaYO7fO29FDAzpocfXadYNqHxrh9seqrN1D
k2Zb5kdXx1skisAO8aiuSYI2VgkFcmBcSuMQ1sd0iMMvelYWH2j88sQkLW2UjYf1ypDUbvBuh1nP
AVoHmVWrauQ5SR2AkBZ3Sty2O91o4zvs1Nt9hujORnx+ZdPAUEdTh7gB9OtaKwUhs1o0blwH5pS1
R03Lp6cha50HgZDd1vFcMsHzi3Ahs3K5cxQILte+xXTmzFG1JQhDPQJhkkprcmAVuPbnCfFUGaSi
dt935lC9B5ZPzyMr2LY7q+vM4pgYBhqLliO6CeM7MZSH21vr8mngG9AZAnFEOQCa3/nVUQiRZZRa
y8BtCoksr3EQRdr8ocBV7MaWYsxeDqLeiLevffx/B13ujX8CUpRhxdyFsOBUvK2OIi+8vVZGKG+q
WvU/rDPBp/uqpEqJcPkp/ww1IaxvwJWB6m6W2rHkvQh0tZB77NO3dE9eS9LrdSamp5hLXQW6w3pa
NLtAt2hlEKKunviOqiAbGRnh8Mz55eO2WO5Uvi698O/UV+74qM9T9J36pdn6YZ6nb9VC9hZFDDp9
BDBLy2YdrCrx4DVaCM2/RivSVzqqaHOXeMfbO+jKJQ9KaBG0gykOVnMVwXSKMcTIhZfBLDKMRi1T
ANZ0mtPtUa5sGUIIdfm8BDDcgufraA/mrAxKA446EsodOtczF185BzLk3r091LUJLZUjUgouQMLO
86HoCs99bNrQv2nrA1OoseSuc+uNUgEsDqduqeugc7cgGM9HgRwlBCoWCBYMDSL8Sm08yzkT+9tz
gUXH37PalBTHaWmBXKHdva6PF17vhECChwBzqnz+ngBxn38Y0B3Eo1FEZV7tZoXn+1suMqWg45vU
jTi4/az3u3LCEvSjOmsYqGFqM/YHO4lbhU4rRpP37aBM+t8iq40vgACq9ES1DYd5Pc1UbWdIq4l2
cxobn1QzJ2sRIEncJ5L5FDVXe2w099BaDWCiDk8F+y4uR619aC1ye5+CSSlQ5CJceWcr7VwlvpVq
iRP5ogHumfqiTJX4NDl6pO3zCW3VfeX2ZgWRpcxn3+mtNgcHKLqu/6FW/eTcSasryiBRcjXZ6Shm
1yfTGnqu2LDvJGS8uCl2Ux+BgQhzIKt1r2vxS18WTnXoCCQ939CEFT1rvE1yV6bplL9EERCt0u/H
RE/8VNXH/oi2rN3jHRKa5V3Z5I79q6z1ScIac6f6HgXN0nwpEBsDLU2j1/mVWmpkB05aqcUBHkYS
/ma2rbUzhBva4EVCQ6UCX/YIbSfSQzJsRir3WLNaT+YUieib29j193CYBUXprEGEtKVs3pywTR1+
TJR2673lSdv0x6HFn9xJTKW5i01FJh+cCSVXJB3xg2x9A0u+/IQcpP416kdY1r6d1Okk9wjndvpv
aMTcWuiyIckq+tz5JOXsWWjutmBYyhZ9lCwp8aNzC+nghRHbAgd27N/y4mnuyNlPoRoWuq9V89gc
jVBtlH0mw8T5Mg687f5gG2L+APazcfhSCDjtQHNO2vfGoIrr96aV/JiNpNQhB/VmfUCCx3W+Tnop
X3I1R1+my1oxP3lqLPJTh/bHeMB9lZcSZEcLd9ofmy7t7tOoUrq7Uat7pJ0dj5sKuiebzq+BExS+
QSw3HLG6038Phj1HX26fwis3yiJGQFl1aVFddPFNtm1RZkrNw5Ci0C/mHqXnqGq8jSDqyiXJOGBJ
F7Q3df3VneKhpFtiT9kE+ZjBiEa+G4nkSUIW8qmR1FvI0ivTomtJhgyrD1DJOumBcDLo+CA2AVS1
Zq/GTfhZh5GzwaG98N3lpqQqR1mHABGHvTVa3qxDe4xtZCuBa3jhB/Ax3Xfg5dpLDrC2+xnRkZvf
EckW891Ulzg+VqnXsGX7UrrWfW2kVvY0TW7a7LyahnLQ8hp2O6Vz9K/I+OniuZuGKd1FLV65ezsx
i4ZkKAz/JFGfo07eKEb6yepmNX7Hjje6p3SebXnfJgA2/dHqIaKqSocmKkIBbrKv4CgU97f3z1LG
Xd3hixX0soOQf7gQndQ6zWttcwJ8btb6ohSOBFQaubQELYDoSqYiBlvY4I/U2IDGZin279s/4HUp
17+A+gGsCLIesK+rnWVBjJgW14EAWQfb2o+zV78LhZIWft6GuC7LOPPU3aTX1qNrK+n8IMu5bvdG
P+maX2UFzUHHVVqD5Dsq052tdKE8FGYq7B0qdU18kmGb/JDNOL8rgJtvqQNdeQRtA50/XnWEEQHU
nD+2uYoz1tAT7Y9gjvym6vcVkmK7SLSPRLvWRqxyJaamWcO2hbCiMe4qVslQ59UQW0aZyplb32JX
72s07GdaN+Y8P3CQNtpqS8q5Xh0iPLDPQLwoWi3T/yfIJTuIq0Rm3C/ZpD7phizhKooOmfu8ucNt
TA2mbHZBxnX2xs68cgVg64PkCgYJtI/XbSOltyPE6vKaqVJvzFFT3Ddht8WXuXqvQZah1UYr9hIx
VhojSuJhHRhV2e8UgUfkXLbK3lXTceMKvTYhvC4ozGNWRGF+9SmFNCPq/wwVueHQ+EYaaqcyM/uN
FbuyIckFES5BacigILdq3IxQcVFss+pAxuETBI3ymzTdPwaaZvfmmEX728f3clKQYyge6KwRKfa6
ZOGmdYoCnyPI59v8Pger+jTqYtqImy/ntHQZKI+DYqLBtmauNJEJMA/VlaAcs/C/RaYcCI2d189a
aIbqzgg9+eP2vC7vxeV0cczgPlL6Wtc1ew2V8CEbZaD2RTMepNnI4a5s+8I89FkeRT54Aae5qxyH
K9ISriF3mSLD8NPtn3F53inTM2fSEmBR1tqht1X1SY3Utgv6MsVNNFfNZ9DF+o5a3Ks6XfI9Du1p
4+Rd+9qLwBrPPIVj9B7Oz3zk6X0YSa2DPDKkU9CkqgSn5qVK5OPXOkR3IEjrLePj1wji/KZZ2PIL
ZR7PKxDjq3JBA4xJZpBoAl7SWHnxEtkqnxGkkPI9RKI++lR5czwBQSupUcFIxt1+1qSidtBbwGTu
cs2UM1WGov4B8NlLvyV6C2C5xd01ej/IznZPpJPmDzXsogTWDkXhz4nZK97eGup8fFbCKWk36jNX
TgfoO+SwOWeEM2sZkrBRvLnHtyJwLawt7CGf35dULzbO4OUdvZSaQNcDjmKnvFbL/7mjOyjaOAZJ
GTSkXvuSiKHZhQQ+va8KI/lqFWN+jBB6epCxk729jcrgJIG4vVFdQ4rhfLP09tDJUREymAHCn0qK
Pr7toCF1+xxc+ZB0T4FEAF8h51w/Q3Oi0CqKGcXOFTMwRq34qtbS3IgHLx+DpZS+KNui8rWwq8/n
4o5eVJWxxYcs0+mLYffjE9mhfmdU+EP8DxOyOV6vcBkS9vOhYu6KQRemDHr4psgaQDhrjFw//g+j
UIJcSp/waNelSIGiXVwYcR8Qhvb7qDYG1GurrUrA1cUBSwmOF+w39ZrzuehsPj2N6z5Afts7ptok
TngNzN9vz+Xa4ixNOpeXDYDRWri/brU2jTu3D+aiFR+6Xk94s50K9JilbBRQLoei3ASjjX4g+D9Y
mecTCmXliDkduPylVt4Xppv9CoUOZYL23cZrfXUo0MF4TS2dxrXyL+zSqPcEuCjSgt8OLWA/thpq
A72y5RB6uUpwPimlve44ILarVQI4NXWVmSyCQShzTEqV+x4aJYfbq3T5dvw/5BeAcgLiC1GCSB/D
FA+VIZBSl/O+oLFygmdRqR+SiKUlT2rMdH97zMtHkogaRvXSwV2gzqv3Crw9pIOcMV0h7PeT3U++
LJvFOEXPAtuwk6PiVltH68pEQU2hGISKOBHduo+OiwdqHjD8A9XogDPGiPbmuHp8iF27eQwrfcvf
8MpGIR1Gl3YRzUSKeDVJ25kgdPTuECgSBou08Vbywio6pm3vvfnVIvMmMybhp3zPjXi+/TNURyBa
FWMgXL26g8Mw3sMg3cL+XPuAUDVsuu5oBanrKqVl9vAfsngMmqqzK/xCMtxzKqknU5DojvxczLn+
dozFwn2jkgndjmBy3X0ve9q9dtog4JyBsA1hUyJak+VmtvFcXVsswDcca3SemNxqsUazStGv78Yg
NKo2yCJbP5UGWvYoBjUbm//KZyRqokxiLqJVNJzOF8ueaHiEtacGotasu3jqs30s3HqXcDkee6OU
G+NdmRp1IK5G8OUgvtcNPGlVqt0i9Bmo+Cz8nXDBQkIwtMoHEgBr4z2+Njcksixz4RVRml9+yz+B
jahE1LArtGBsKuXglnh3F2ZevKtmFPSbcFMk+fIioQFAhQtEGKw+fQ32yeO8a5SCtpmeudazSs1z
rxFvfCuzoroPAZ2+5BP6Qbdvr8t7eWmG4q5Armsu8uznk6xGsG/YQQ0BQbd60FJV8SM8LI5vHoUE
foG9EkcTK65AmNBf0jkrMKo1m7md7ugOIT2BYEjTvznLBQ2CAhhjAAihGHs+nc7GWaNoOdatIeGA
aXb4flaU9q2qNKCk+Go0/mksqjRbz0fBl8tMC4zSgtolpiGDN/chQs1+VZlvFWbnTQHCTpkQXDEE
xnUMRU1Ki+EZj0EHfN2HFVniO6PlO8eO6//h24HxcLl+F6XudTc3r6hAj506BjPscl+GSoYWhLP1
XF6e4KWGyyAE7gTUa4RgKVRtFhMq9mx3BX/LQfOVpB9PNg4Sh9u77tpQsPWhsxN7UKBe7brBtXLT
qZs5qB2Xri+RRyx9yBtDdurBP/5+82gmUA20gBc5S6gi55vC07EP43Op1Ko8pMYmu9iLYXCP2DW+
VU6dTQGsCoV4rgvwIWuCuKizRgzZoAZtG3l7HdvIHepW1ds/H8BlzhDvJJnVGnzTIRY91tjyAHEs
6x19drRxi3A+GZmyJe94cQvRyyU/WCo5ZAv6mqmtG5BC8C5zApcy9X/jmHT7ekiyl9srdDkKLBCu
VlDFPPg8++crFA1mFtctCpntKNoTdf/5ye1q2Ie3h7nYdgaOdFyl0JkX8Pc6qB5k7uaDklFKWPAs
ReLhDWo0mORY09ZGuHiiOEoOmTeNcP4PlNT5jKRRjG1veX0gUxF+svtM7rt81k6TmndHIaotMP3l
1Di6yIvSfAf3hGbM+Xhw+5GfyLUhoMGs3BmTnvqDrOPjqImN03RtZuQjpCWLrjbn6nykqYEGmFnq
EKSYUR9oadEmTMbqWGtV/dWMq62M+LVScFYAWm4lgqVFep52/HpqjlTnyKHYG4RdHO1i2OAPToFQ
nazC6tEF6/U9k5P1gKadB6ta9050QofTDGQuSHU8BCejNB8Nddo6hRdRAV8ZpwwULTXW2nJWhak4
cWQlDWUMcqea/Nk05v1YddVzXBfDrkVx7aOTdVvs3EvqFJUwXlAD/BCuIPRmzj//WFtNAxlMDyS1
ee8lTOVUfMoNqLkfqwoK1PfInc38CLLa1J+oW0wovHSNKx6GGP3ngwg7K8SCpyWo9lpTe+chRmfu
wFuZM93sAk/ZQa+j8FdHudX1qXLmyh9biaw8w1J0VKHSF2nR7uJBJN5dl2Ruc5B4BJePEmMW7+sU
VnW6JwauhE+6lyv/1UhXx37ScNr2KPzEkY/jxGT0+4bqVLirKJK2by0J8HXAa4DPW07CBYWKGnvR
E84YgYsEqAp4QCcfSrAOHo0yFRuXyuU2YDCQ4BC2yNZJW84XJMwdYWSzs2hde/ZPo3Ob6KVpB7Pc
65FllKfWtMI8oGs5bRF1Lup7TJM8CSQHEQjlr1WI31ilF6UTdhpp65q+4WXiDqdcoGxStk9CooG5
s5paHKrMDl9u36SXFzYTBWdLag2ni6mfTxoh4GJ0zdoIKiRDdrBm+/vCrqYN4uPlVcMoqEXhhgLO
ntHOR9Hrecz1MDGDONKn1PcqO2s/UfGsPUaDp450TTGMGyHklfXEAwnQL+YeFCvWJUVLQY90GhiU
VHCSu9lG84tmo1Kau1oflW6XI2YTgdrj/rm//VUv58vtjdk5paVXL4/VgtaAWWZrMM0AvJZt7Nsq
rSY6nPgKHOIyLkLfbKOm3d8e9PLlABK0MA4pEi/uP6ul9FwJMAMaOLgmz70XkckwcPrv08LdUqa8
3LBLV518hkzbBKW/eqQMa0zahm4GCpu4Hht6+K7J68/DjIa/2cefhYKTc9WbG7vocq9SZl/UHwgA
SePWbuqLhMeQGuBeJhuoR4rH0b6XiXgrwJCCCHiBRRNzEQla8/nxNFNhrSExMTiu2I21EZ06M7L8
GqnSjRW75O+TRRHGYAv1GtSuYe7C1EG/1a0bFGpUNH+7ifxglwG5ArJCr9s5AX4Ow2MRFYmzD9vI
0NA4px2BJotVWKcxjWT9ZBuhjhe5pMpyVxohkSq3uKhypFVqLMA6qy2zLerBspfOn/KlssN9SQUJ
GPO6ezamXpwXTekF4LzEGGTqYMGtgB2a7fPB1pKH0q21dodjLl42roLx1EHIMvp8e8dfbghuTIRR
USBa+JrrpRoQOHKgdIVBqlbyS5TVaPjBSPl0e5RLiPyCTAQESQ+ZLc9jfX57ae4QLhDtMEBWlkMF
dAzLbcvKcSYqesqhd/hHIIibWQv8YyjxrXzvSgP1ngmEV3+vyLa/19tM2aoMXZm+S7kXOyYLcB5c
ifPfVRX4fszIOwTFFIFIIGf2an9oiuHNYJ2Fg7FIG4BEXsrlq+PeTVUS1djqPiAJm+20UciT0iD0
cvs7X1yanAF4SwvSgtIMFYbz6URDXmFVUlNYoBX8zmticVdDYH7WnKJ7wO2+2zJluLjFGBBtEpBV
dILIJ1bTIs5V5lKhHGkO0nuKOzx9TqhW1ZU/JR1q15VTZn/Ndp7QAWJzbdwzF6tHSx3IOi8+67cw
+s6ni6JwFioV+ArM3gm/S7qyaLR4WbkR1lz5rLxExLWLFAxCtau3tyqLjO5qTj2vi2flmOtmKHw9
7aun/+PsTJbktpW2fUWM4DxsWUN3s9SSWoMlecOwJB/OMwkOV/896MX/q1iMYrTtE/bCJ4QCCCQS
me+A3lxsnC0jnvbuh1s4MxKlCHXRYn/t5q3rsOiFYtk9o+s/jekkDm2ZNtmpFLH34mqTo/muO0T/
y/HcA6YH5u4ILLJ2fSyo028x/fjweH9rbay1ZH7h+OvSv8Jm7nqts66OnYJMMzDsDg6CJeKnMLbq
x/ujyP1yFRSZNJqsEmlMDMZe7nqUSRHwMLtSC7qwyx77GvGPNgm9QGP77Wyeja1LUV2yVkDlcoes
jn5YLl1Bp14LxkkVx8ROHcRULCSplak4mKVjHENNnT+0drRHkN+aJChB2KCwOxh6lWWk9mhEXtsi
MYes0jOw3/mDZKH9Ku1RvPW+hxDFY5F0BrCLVIy5Xs+inzsQvpoWtGBYH8EPOI96XuY7BNCNvUFn
nS4R5WdJZF8VlRQkUxqeMZyPtK4fklb/aXWhsbMBN74Xu444I+svNOhW3yvpIqdKFB57kS30U9Tp
9QVkK9g3o7c7f85053OOY9CpjLppJ6xuDk0KLDUApFHBau9jO1MooRHpEuCVf6wLJN3trNC+LoMt
vqm4I2Fu5IUgh+095cONyIP/k9SMAXlFBXx1HsLW6pMxXLSgDE3xHCVdfBZ9n/xAgBpv16V5q2sg
tzPPeJAWVMGhKq79hACBaZrUrUeZ39FeCqUZjurSpDgvCrCC98/61q6RVXB2DB1J5CKu92bTRyql
V9xEIkxLjmmRxecqJvu5P8qrIswqpFCvM6ivwg/kll9dUd0c2kCZTT2ww+oyIaKS18qTESvvVDX6
WijWSRXOv41hfhxi7x+tdX0MMk6DZUBvLXXnENt7+MSteYMDo45Ip5JX1foHaRPuaGWq07Hpy4Pd
h9mlgMr7eH/eG0GGa1EWRniJU+ZbpQJKncbDUjfISqZF8XnIoiyI0sQ6Le2yB2/Z2qSSigdqnoW+
cWFT1WZoUoehVFj8P6lQicCIF/trGIfpUxZ6/VufhnTygPGQTBI/CTmr45iHimoubmYGXTEUHyjQ
Z0cPBcJDpajhWbUb5+1BVBa3KGuhMwr9fBWvtbTVIqzt9ADn5gX3V0M/Jqr5ZgEaZgVABJQSDUPe
vqsP1trDksB5oFDjKB3Kplp6XHR0kdF02hO53tiBiNODU1f5nzzv1yev1o0QmhneOnFXNp9GJ4oe
a3esdqKmJi+X1cmjqQGii5jJ++ymsyGa0cwj1Qiipfce6EeEkCfL8MNczKL0gQv2LfI3RuwrFfyN
TAzhadTx4bh/EDZ2JweAfIIbl+i1VrVbWmqmVYW2Zj7xFKJS2oWBAosDmM/o4Uxqpnty7FvLiyKu
ScxBs/ymGzbNRqtVSIyCCgzno5W6+qGs++V8f14yuV2vLlgVWeTm7Xajvi6ctk4NPTIDyxp/27Xy
pZmtZ3oSL1z3n91kfrk/3Ot7dDXeK4qDhwxgZx5z15vGKQrdmKPaAouAXOUDglMieeL9tIzHnmJG
fMyXFK15Z8rqJ15ukfowRvj2HbKlrctfVpwW9pPiDu1LHQnL/AzgLnGP4SQS5aDViuE+OMrofOjh
PMksNplwmyjtXA96Rc31v0WeIlREsjwkz92cZB6ei4b3xbKXuT7UcU7m1OH82j+Fi65mD3PcWdAD
FOEWj/D+Re9DXU/Ed6OZTfxvOqEoxPlwqY7x1Jnf6zHP3dOkq717NFrFBDYJowk2LOLj7lFveRr4
qYJKrG86sY7G1uSEf/Hl+19akU/RMWuKND4ZYYo6I4ktalpjTd3qnIO4yf05zIrPrhPqv2dq0ONB
6OZcHCcMang6qKHy3a6hp36w1DrSn6u46AI9curyMDRm+1c8h2F9MGJ1cH00e438seGd8qNWVCoS
dl+YsT8TJ+E/aUr2O1eFyB7GZNJ/iRDO2AHGUOsRuEbUV4vCy/6Ocg+WZ6MXhXrEgm1wdo7bxua3
wfiTrACOBbG1ut3o2WJtUyBn3AuQpWXtAPwZ7eV4fzdujSI5KawxNdGbZLAqqe57I5s/UnTLV2do
0Yo57+nEbI3CTU3mxZudh8kqJAvgE84ClChouyE+GmJyTlMo9rwNtkYBd8ijiuxSiqhcH6yRm8Vz
lZC5WKr4sqjZ+L0QWXS6v2KvWqXr8yvZIzga8llu4sVEebHFY4jaZmkirzzL5thzxSuFwjVCJvoR
zzOAMZ0dk8ouAyqWxxSvw98YaHbGUUudvPvq1PrwW6VGk+79uo27An4kUVP2cVVAOteLEM8VkKoQ
3KqNNu230mq1T3OqOA5qI5aBn2naqb4UKvo5t2N2pic3B7Qa9h76W58CCThw9FJX7IZC3NsFuQxi
t4HeFtp7yPfx32gNWDvlBPlBV1+C3iSKdmhFULhYo7gX11QomZAAEnZ+zWkYPQjO/iEfxLCzrBvz
QUCFihPcEImKW2UukA4AmDShHsTTCCHNKt1DoTjdzk20NYrLSeScQO7hsFx/O2FZWUnA1YNk0MAR
FnDfxopwdX8Db9x3wFr/3yi34L4R5d921IOiGsVznRX2Zxhmul+MyXLRmq7+kotq79G5OTUT6hX5
kkcGsXqjDFG2FHFXMLXKHXyl86bHpnSsnQXc2BAAQYGKyYyBoscqzkRK3Jt6NRlBGlr6cYy876o6
G8ekyuKdRZTHaLX1UJukIODYvNTZfdefCpe21G4BrsEWB4ypNLk9n/rZzbqz6Mrsg90on8t4aS9p
G5rf7n+/jaVkaGbHjmePrHeJ4fKYzekCBi0P6FNOCD9hl7BXkLylysniAJNDqIMMjJrk9QwbZU6n
ysvNII/aj6Gl/U8UrgJNbji7ivXTS5JjqnxzGuU9wfDzQjsUJRv9xQUt4pNkHWnAVn40jJ+Sbn7p
W3s5aMve+d9aCS5I0BAoFUhW3/VPNGiFOPrMStDOwpt4XtxzlOKndn+9twqI1PP5oywpmMUsroch
Z6T95A1mEEKnByxgVg36xWIxPyQjxtBnZD2j4V1hj2X+rC8ZtVNNR8jmbNJr1EiGMmfv4bY1cZ5P
ECGI9EDUZar+B1YRbD0yybA4g2LA+BkXj+Kkpu6eGNDmKFJ+kioi/oBruMlEJapnfmbQWFN/rnRh
nhPRtP9hO1PIBwyJyCXvXhmu/phLsoxzjGqESXk2F6dGtcsHG3P3nfN6Gxkgc0iEPVAd5rN+6o6i
oYdU1WZgDmp0Fi68Wi/R+nNd9W9fNjkU0BJKobQq1oymGZn83OgqbmA1siDVt8n43Yl3uTBbMwKd
A1aL6rYkaV6vmxD5kCgGsc6wzBSVjpSKTJRZHvlrWO28WbbGgkhIiwDMjEbt53osSKbgz232G0re
0bupMbqDObpKMLeVt3Pabm8n8kTyN5dOpEmZfHXYhgHV/kmxrKAa8V+3IrP6UJp9+QBAyf2ZgKL2
G9GrO3vwtfJwHc4ZFRoGakjUDOgkX08wKfpSczrVInXkZfZhoUT/b5p4ZW0fq7jGhbzh4RDzPtPr
Fx2RhuUU5m33fQQmLA5zp4vWV3HOeQlRh0hBeY8jigCYO8BSFJLRzCNqqM9WXQ0fQy+u/klbpCMO
g2nmyyGDJbT4RuFFL21VJS9WbGlfKaK2ra93afilHvD29HVFpMrDTmSTi7meNj4KfFf4ILKVvZo2
0hSJ1Xl2AO879OnjGo8tcf+QhUQUs9d4kKX2p06kxmMeYueDZwXWGFOSFO8wzquO93/ObbzhV5Ah
yMsN2PA6nVPwvrSHcrJxp2mjI/6kDsyy2d15V21tMHJGKAc0zjVvXcbUBxxDsla3AzNRph/TqHcH
nDGKx7BLkmCBWuwLUXs7DM+NqdFdozEMJQD4x7pTITR9MKwhQS6pi35o2IC8tKK0v99fv40rm2AN
sRi8o0xS11BEqxOmu3QiDMoostofqqPo0Ow95OdTP3ewBVgmgYBdFCWu/sCVbUZBm2N46yOKm3fd
oSn0LPG9iB7zF2zUq49u1ejZk5OG+Qgp37bSIEmWMgrSocwdH/nFwtjZkhuRhiuAqgg8VK6cNQph
msaSvyIHycKxOiI9hydJD0epQkfj7VcCyyWttmQ77qYlsCzlknEKHbLt3D43odcdlaJSHrJ66HeG
2vj84NSZFMB74tTa/qIRucAKYWZWoL5Qn2lp7lbOXsq2NQoVJVmfYz6kBdenuVeFp0dT6QbKYoGE
MfB8EfoS7gTojVGoXHFb8iCiV/VarPzjvtaLLq/7WOKnaFSdezuZHsBt7bHitkaha6JDYKdTRCPz
ei5z7ZlJmoBaKt0BX1tkSh/ratqzgLjN4iXckpuaz8I1uvZ7nM2M4i4HlzJ7QSFVzb6a8fzoGAtk
sjg5JqF9ok/9v/vHVAbVVdAFGUWfBhwhQgdrSHzt2MjJe5kVOER2jqcSv2Sc5e9uW2roSsR8tvsD
bqwl+QHYHng70CTWlEkhCvBJqVAC1NKTQ20a6THp7GLn5N6OgmStRA9AnQczsVa2glAContYnMBA
ouTsRUMBdZbC2VvnAj3CorpBFkLzYv3FWqtzepJrL4gonr6E1aSfE0gTbx8FOiaJk2TcQU9b3Yui
FZM+h9T7HFmfHMA//mNnNEffPBd4snwZABeAfdegwCRF06wDgRIAB4hepsGZzvmSZV//wyjYwktQ
pZzRKiqMrTWj95SGQd8N9ePiYisU81B9c2uHrguRjcIxDzJS+evzSkYQ1choh8ECtdqfFnDLY1Tu
2YzcHh0wBtCmAZHAQoO3cj2KPfe91wyOB9EyMZNAHVvjYx1FxvMMukY7m7PnfX7z6oFqkA98qky8
g1evYCQzsFKjEhuAW3OfQjUTR7sx9nb17a0HQIXWGEwCUKLqGj2FRdQgkrwIg3ipFFLGOT2Luc6C
UU/3XCY3jilZFk8gGNSSNbjuPnhGU7lmFgYh9m6/aTcm7+uqcXfwrpuj0CSGpsbO5nF3/aG80KuW
0WlCRAqbHueLuHlUkSv6cv/jbC4btTJZt6bFve70pW6MK2jNKDjZhSdVj+KzlSz58yjrr28fCgAB
6Dt5lAgL1xOKda+ojL4P+SRNd9B04R7K0MFauc/3oApba0dY4OH4WgRcl5asvhv7WqW5VuJZ/95d
xuS86MmelsrW2tHzolTOSeKfq32QNVofjwq5Yhw69WNUedw9sY1R2VgOT/fXbmtCxAYACqRa6Nqu
NoOwdAWS7BwGGeJ8ANgT6+zkYnh7zMash+ta0s1xYFhFIDXCktFNDHqS8ZL9lZXTV9DN+k6KvRWA
kK+Stw/LxmvlehsIxSySvEnCoKkN5YE+XfZeq+LET4RafHbUpXx8+9JReOEGY3/TL5RL+0eyFSM6
WHeA84LeTqvPwomNZ8LEnkvP1geC3wOyFI65BJZej2KD5RUpLqgB5YzptODYE5jm4n26P5etHefQ
m6FZjlokgK3rUfDwpi/ZjWFgCC05RjhcP0cmIpgNxrPn+0NtTggZFNk0fm1YXw9lthVKuB5DAQzX
/6mqdr4k4Jr21m1zRn8MswoKLTZVadEvBIWq15/VxPqgVF78UCtYSd+f0Na+4wDJRiB5CXv8ekKR
FiJ71OlhMHT9V2E46UOkTKPfVqI/Icaa+/eH25oYkqEcIpqCqGCsNsQ846FiFSa3eWY6X7oha75V
cHzyY4gj1s7U5CJdp8PSRhWFV14TqAqumVg9gmvQzER0WRyrPc1UNH911hD+LNKpNOUMeZhOwkGG
8/4cN/YIwlgQKgnpwFHWiD4xLtCPhEC5ErXBU0nw+thPjvHrzaNQRefOAFkL5XqNeLWUvsg1ENFB
HC/4olGQOCV9pb99LrJYBtVW6gNTe7zeHmPThlRmmIuGTpUMRuNz1KjJDtBzY8UAnzigBrHyobRp
XI/iTFHtdlj2BOGSCmxPJ/Vkt07/9rOLfQ4IRWIE+glr8UdrrpusojYQoIQ4XdwYO4wQZdMd1ZWt
udAlAmYJtYK/VyuWLGmU9FrjBMViCr8a3fDUW7uo7ttzhNgb7wgOLAumrt9EHnKPtoY1Nmj9BT/G
svKe6c+6pzzu1Tdfsvz5cKxBB5Gp8p2uPw4OL3muqDW2qM5kHNUOyQ5u/2pn2bYmBFOWyIqiBbfg
Kh3uat3KPYNRcNl1/Rg1lIMncA6tMKve2dO3cYGpyKSOg/MqeHg9IWVSRl2P2dPz4H4bMiUQcfM7
cobnYuYkFXO3U6LbnJoUP6NDSZ1mvbuVHiOSZWJqcanqh8kdxWe30a13udE7x/tBYW8ouTn/uNVr
DV2xLJMHSVHnL5M+YrxeuOVDl8fJzqxuLw42N/YrUCYA3N0g+7WmWYoic2xU/q0Xy2l/ozv9Perc
zgdM9Pv+tG7PlBwLhIdkQXPJr+JDYeeO18raXaJ4jQ+iqD0N3bIXtzcWjz6RzCJA45C8rrbgMEye
4pmTE1SQ4JcDesHWQYxTpR+pYro7p2prMGIyWQIZJX5bq5wFQWE37SLbCaJoyn0FcJOf58svnKqN
N4c9+shseL4T+53axvWeQE/Za8dYd4OZkvRBzR1xbuld7xyqjU8ESliuHAUoXumrKNE2WBc18eIG
oPa9w4yW21Fpq3/fvA9oSHEZScEHHrWrfcBlPya5Ti1Aa3vF76u+eMwrfc/54JUTfp048OqTiuB0
bajirhP+EedyZcScLMAlemmDchTppxYI+5cRkzzbb/QZJRzPGdL3SsbJOmZLPsWHGgF9aMJGY+sc
uoL/i5Zj7P3dHJdaP7ROuHS+Pfa6E7AD6xfNG5bln4i4G/7KEbtTel9NDKUKfbwb4+R7XLVadwBZ
jtzU/VWUW+ve9FY5GJJIUsjL5QlNLl4Ek+iqU2JM4mmc7eUlK8KvEOwmyvJJ9qHrkvzn/eE3dj6U
JArJsjIKJnkVo8zSDQfT6nBs9qDvtU2dnmMEuS9Rbv96+0iy8QbODfIeb97rnS/c0Jhj+XBTTVwy
XaEqJ6rWDpVRaN33h9rY/iRiNBaRGgCGss6TQjftTTUplUCJiugUYh72wBq8WeaVcgQIeXQM5PqB
rbueUNjqi1KXiRIYdTuf3aGGp9ZEP8xe3RNj3JoPdxXVVpvONpns9UjCKIq8mG0loNrqHgUaGhaI
Icj3O+u2tRn4MFINFeIhBd7rcejIxHVfxdHFcarquBRd+ZfjRtXjsjjjw/1PtIG2YMvRk+SxS8JM
6f96LKNRFmqyLWIxKCISez+1RvV1rnXMVHP42rYTq75dlp+Usn9AUfNrPM17tZHt38A8aURxAHhG
Xv8GMo6m1cC2BEZud/+zwr75MczqcnRRhj3noe35WtiFD1nROsfR1dsXd+i1Q0oE33n/v/Y8V1GA
ZqXkrFBskNfq9S9xeitVkbJvLgvCH/nBRBPA+wp9M43P86Sm5j9qPoU/a3NWlqe+i9AGqclwsJ7U
0lIJjySFCFdhKayj0jmLXPnSJbOCrGwMA+e4QB3RAsCZyldoMV7/AefaJvk82oMyHO3ehCKeNWrV
HPK+cDrLd2anGQAAt2pQAzfQ30OxJ5aqYdKeLC/x8u+jWU9f09Zo00PvYqTga/0UNkcjTPCGtnnG
GmdlUl8bU7azPKlDOylfYLtSB/AbpWmXdxiqxsWXpKhL8bEel+ilFH1kBVoR2vFhLkrvS5zmk3YI
9SjzLga+W/Vf+Tyr5QEokzL6uRF7deF3PDqzrxZspvJBkDNURx4uMX4pYVb3h7CKPXCo2jQO58rt
S+XZGJ08f3Drzs6C2bH6yZ+sQtN8S9F5FZjugGMuYgvG7I/0TpxHyBR95PrUANvfqaoV3pnWYe+R
VmlTyK+btCktD5Vb0C3N1bKbPzpznjUveluV5V/K1E4Ggg69M//KzDTKT7mmt9qHCeKT46cg6Wvt
OKdOWJ6AeMSV70aJMz10VoE35dGuI8u8oL9V5M9u4iX1MdIXi4fsYufanhb/RojBJp3CPokJxf11
BhSVBaYToRYG0tb4gvFMBFQhGnayn9d9vNrnYE2hZ1HBQ3BzLRgAsVXJ465WwAfq2kXPzf5rGmvj
IQklxBu0hHhCplJ7SebF+7DU6vAFM8js4/3YszVXHL+BEMpLD23W68NWT0aDaaAXBg6SbAeNsvgp
1ZtxJ5hujcJrHSwyYvhSZfp6FFNrbG3xuFntNHY/R0UY06Ztqp2GzEbIlhAk6gHAOyiR69ejGHqJ
iLKeRZciDCEWeJX+WXa3n2MtUvd4SxszArVBj4SeswNcbBUuy74tliVUlCBUCdEHPRRf8Glo9+wM
X3Pg1SYBcI1sB+9pICJriarU6bPZNRgnEcszujQHxY5SPy3jd0THp27yHlPVPfLieTeNyfvZiJ46
F0PJbog+5HZ+bIGx9Nr8gKDvuSyKv/u8OWM6dsoKSBCRUh1mdTpa3Vz5iWHuXGsbr1ngmpL1BKiB
FVrd1MjUZhOC2tEFuOb3gZDvU0VWjkbXPhcG/67st7MCObCyUU8Vj9rxGr9ZwOzCT7yNLoYV975Z
aPMTmZbYKQhsXZUMIC9qSz6c140/r0nsKZzK6KK6uNWERfoQ5znkMbCClv3eDsWIrYz7s+1KnA3t
j+Pg7FyRW5uPNeWCpCwBOnu1snkdGUUSz9EFjon2O9GyQfObFijXm2MDGFjZxKAcCuZudWqpj2O1
tvABYzRqjmnWavhBRHtanpuT4RjxsEGX6qZVMgtl1JYqjC75aEbUpSpoJ76O3+3x/mxutyMVHP5C
VFZS/9ZQqwpBeVuoZnJRG2HnJ+ovJUaoS4YSYKQPTvoxH734k1EibrKzjrdxCTUTyP9o7FMZo75z
HZcAlOYQ46vsolvGEylC9oDEp0Puuif/dlv5kCxqCSECnntbz8EpoFddgF2XhNtfHGpVawvfbJzk
o6NNM9acAprRzinfGpNdwkEHk0u6vNokS6h21tJE5aXmM77MudYmh8Hska1q8sH6IF+aL/c/5O2G
4Qu+inchREjxbxV6ndQ1gBeXyGGY2vAjtBv1KdPKfE/P+farUS7gPU8rnFOGPtT1VyO303qR2CWC
aKOH9bKweTZ700Ol1m8vhMB0hGMsLXI4auvcu0wzQ5trhsIkJ6yeZi0Jp4exz4qdI7AxJSAXKPNS
yFRl5+t6SmnZZoAWdC6taFZ8w6qTU6XlA5gzfQ+2cPuRaEOBYQKzT2kRHdvroWBXKNqCpPhFwJH7
SdXFe3BBZOzJIdxUDCgbgeoicgBhpUm9Olo1+rhgVefxoikL1oAOsmHGcxPrY+aXVlT9gLgXp89L
UxTiYRjbECOgumz3vBVuJivxm+ROlH6kb8zadi61sH9bYCZccqysNbhyvYbkG8z8N+P3JLiaITjh
tmyXrxq+Dm4KdcTFelGzejwOUzp/7oalucSLrny7f8puzjWIZGmlR5sIcUJQGtcf0PSWRh9yQ1zM
wo6+tbknIh8cEhbUgzVQO0IR/80GLhIEDaoBHhdqNzc5FZYKVV82uri0elq/x9S29DO1nt4qOIHR
iU0wRh2Tvjkf4XpioYuZmd2a4iLoItaPar4UnxLUwvZ0hzcW0AHTS3yiby7phtfjNBjCaOpijBfT
6OiBKKI3H+I2HyI/7d1+Rv5sj3IoP8lVrsjM+FjUeDAjQPBhFYrHuqiVdpAjNt7wb6515aMQ2vSQ
WxFSXYYW/yh5xx0SfRbJ6f5uuYkscmievg4dVO7wNd6ucSrcgbmzLxaeHI+m3iZ/tRgnPVhts0dG
3B6KyE9MJo6tn03q4vT2HIvxMoQ2nvS1WhnFaclz9Z2WLHuFuo2Tjd490CtSE+BxawxMlEQc7aYb
L1llG//oZW9eBhL+49tXDzIIvqMS5QXo4XqrUGKxKWMoWEwXeooPX6yXvKfN0anfVQriQd/fPhyq
gxR7YIx5KAZcD5frUx1PZkhhM5JcYqdvznU4fh+Xfk9ZcesMIPdNyVqSVK21ThmMY6TT0my6qMu0
/AQNVv8jolkbH9HyzZOzXqeltrMTN4cExChlxsHGrPXaaa2LsbTy6RJRpn/MDbW1/dJLrb/7ei5y
DMQi0vP/sJ6vTulS5chZtzxzLVFT20mni12K4qetzfOZWgxaYGPU7d0AtxcepUgApzymqbXS0rj+
doziNKRU06XXh/SQKsRoX2nL+HHgvfsylY54n/dle3BTo3qo6nqvVb0VY2h3kT5LPNBNvUCzlkL0
lFsv0dgIrLzC4qEvquypnX+aA81Lv3Np9gIu1JedVb6tl0hmLZ8UYQRZJV1PvR4LFMFmtu3UNFMf
YBwfN4fKQIHiUIoo/F+kRiLxzagtP0ZdJ140xfRrCg7l4c2fm7clv4HMBoilt7oZ50b6duLLwyWc
1udGLNhtKskvYYXD4/2RNhZbpp840emk1kAxrz92EuvQYJxkuuAyMz8piWn8iJuuOhftpL0vQzHA
3VH0E7neHkp8I+4hyC6N38kCeMWvtlnlpapBFXbiJVGL02T06XnIwnbHf2AjlJOFoo5CFJJ9kNX8
8GMvai796dLUfX0qtar80DvDeCKnS3Zu/Y3dI3VWXVAcskBkrju1SorJmVJGwCtae5o+6XlXOT54
t/R5KjJlPHRh3Ja+Ec/wF40JH7SDYkCROucRnd2dHXT7XYm+kkxPUQcg/vq31FgFaG4csZPV9mfp
DX8Nrv3UjdO3FgaAT3HZD83h6/29dPtFr8eU//2PBjy+vIVHBU5cFMEBrcElIgbRJDs79vaL8ram
0kFfF3z3DbvK7aIER2F5OTuF81fddMbfZpY2iR+64fTv/RltjgViVNrA6+yf1R7Vopa8Bp2YC7Zm
40E1x+lE5Vo5jLH39ggvWTN0tgxaQtzSq5zRSJy8jHSmlYe98jgnaf5oq0V5nlx3b29sfCc6q7JA
gTAphZfVmSCvn6ciHnnRJHF27qgzBnleRTu4Jrk216kiE0KLhf4KgeWGm+7Oc2fk6jReegfmQl5C
DY0/1Kqa+VMVV0jY7Wppbc+Lu4tDiJ/Z2vvDVppeV3uWsB+5mRIEJN5Vokl3QNibewIYBjVHanMc
sutdzkbAKwBZmUs7oFcllGiC418DXDbKN1NMUOCTErz0Vik2U4+4HioKVTc2qQ1c+qEdkI4EGtbQ
KT7d3+S36QzVB2Tb4dCxbLwkrkcpeJ7VZaWNl8YUYGes3sd0PDt0eF77xcAL6T8MR73ZBdYi4RLy
5/wRJbRyNAYbWvclGVP3mQ7f+LGbdOd/QtWUR8pL8854W7sCfTXuONJQ/qlfj+dUNhJjmZguYUN7
368Rf8n8xB26ty8jfz4UGtrGBP917mDMLRCuWpkvBkKqzju3g7B4zN1m7BhtXBLUrLSserq/mBuT
k88ioJBo/ENdl5v1j8WkQU1xJRPqhUI4GOOw+Z4g4nC+P8jGjicvctEzoxDCjbIqCTRhN1O9bNWL
WWt4C9ux/aLz/HoyG7fe8324TT6hU0mWsqz28dxbxaYlWehARq0AWWzn58lOGSFzk+WEK4wtLWST
Eb3jcTikiZL8mFtrz/xma7J//oDVacjLQQvLeBCXroGZ76RK6htCmT4qWjX9h4/351Crj1eJAgxU
1osLWScdby82fCPDi/T+19vIBCQMmGwanXS6gOsVnV1n1NpZXDLXnQ41O8YfI9xPi27OD2Ws/ZMO
qed3vb2za7a25p/jrhaS9v4StuMoLpqV0mY0muwZ6+c9KP/GLSMBIYAb2J9ohq/W0FC49c2Ygo6J
EfeRJDc+hrYWwl+qon8VVYT+0Dbu8e1Lyv35ukMplq2LqTHSXrNwKVx5RZ9/n/OhvJip6D+mdNPP
XPLdIbG76CPNuzcjRSX+BRIy1sNIdJCTXJ931cV9uM2ZrkK1+CmKxHdX1O1jQj90J4F8VbtY3d+o
20voIYJZfMjVvhntIi3NhHpLahbTg570E/CHNkdht/DcYxEt2kGUBmYVudk9JFXpnU039h7SiPKC
MXX9SYs89wS4SyXt7p1zuLR71NzXLPbmN0LNBnNLjkGv6no56jmFXGPGI+LRfe27WlE81yalBjdr
jl5vRFjNJtYR/aj6nFc82DGL0wNMN3S013rltNhZ/eX+1tgKH1APqQpQkwMGvcoOtK6wtHZQxSWt
rehBcdP4q76gBrW03h5PYnPry+4ZoZ8q+FrKbC5Ut0Dfebw4CyXMczIVRQXKIcpb37V641m1lXA8
pFO8p8K6dbK54ni70dOXDKTrVYcznprOnPE6He2uOVkttkO+NVmLudPV2hyIQossEANZWhetbKVT
F90txovrIgiR4tTnt1TKdsLwRv7De18qj/HWJklYbaIejm0ye+Z4qRIbya7JXMjour5KfOImtlN2
q3Z7tKqtbSL9QPhsrOKNxpbVArFxZdFvHjXvq1DFzDFL5ncaidFOHN6cnstOlDwJME+rCJmWhVYO
eSgupVeq7410RKSl0O3CV0WMHfwU77WANr8awF7JipUWjfKK/yMnqYWtaHmVyuLFkoQPYl7yzBdD
Vu1pyG7NDJwqTWrIpPhFrT4cnDEksMeeNy7IFd23Mo1cfDDm6TvSk2Z9rpSu3iknbA5JXkLiz1vt
htOVL7h5KQlPJy/W4od2HMovSaO6F3TPjU8d/aCdE7A5niRSgBWlQPyqHvzHWraizap44gVQtOZR
bdL5XGMk8aTYpX0w3fHz/eC1PRoEVgAHEp20ul302vIiOwaOahTouONlvHxtOqWDxmPjN9gt6s54
WzuFRol8RAGEotx1vVOipdTsxPX4gEj/a349ltQo5tT8T8NwbVLZg6e/tvIshzJdvIQOXtv12adM
66YPKGxO/+VTgdMhhABBAkJ/PZk5tsVSj7RGNKWP/lZiOz3ZrpP8yMex+j5m2V7zeHPxJDyVly5Y
7DXAVwtbcxTEkUs3zll6VsIet4puVLu/7m+KrVAlg4d8x6MxvO67ZHrljXEeTxfuTvdkl1l9Rpi2
DzC2sg73h9rcf/9/qPV7N851a7FKyq/oAiYHuj21H2nDOzU0n5p+V9F46/5k/Xg18ZBnc6zCx+Jh
qlI37D6k5ezHsayHk9fhSipQyTjNsJwiv6NEfnr7HHlD0a9mTM60cb1N9HKAOZJyxlyMuk5j10fH
bmz1d0sMrsJHSHLPNnTrRcUJk4JWNP4RMbkesLaqUBEL3w8Ij46FS8nh9yuh5d/6sMk/j/B+Tnk2
Ky+Sm9j6tVK6//6HKUsFKPpbXEFrElXsWspU5zQvXDXGdEMUnqocnJESwAgu1fGrVtqm3h9za9eC
DiC6SINR5I+uZ62UljJAMpkuwxjp8yHMMvuFBCl9X+Vckzv7dusoQvMFDebhlMN9dD1YFhbeFKp0
LFRcOL60nBHloCrOuJfxbY4jzZYJHGSX69uAtiQFebulmJ1rAFpL3CqHWLQ7gWzrwQh5k/4uKTXY
h9UtkLax0dSCUZxoFh/dZa7OQ4PRDcYz6XLUeqN6GpeS/LKww50S+sZXg56IhgvenLRD1/r+daY6
C0k83QiAEBwOzzpguRP5i9IVb98gEKZZRMCxXK5roIrSRrnh0OW5sAzRN8co5sLPlcI5paXeP7x5
M9JPk4oKwH2A+68ijTX3+O5oCTleuESIykVjVp2VXF3iQNdEu1cU2ghsoCFhg+MzJ+2DVglYNLoz
wCjY2eH/kXYeO44bbds+IgLMYUtK6kB198x4PMEbYpyYc+bR/1f1tzFJQUS/v+GFgbFdqmKFJ9xB
bxTbC4ig/iRYUFS3l/X+b+EvtTyYdmbpB6XRG/uT4w1ilecII8ht00GWh8pWQg46msHpY43O3ktY
lNlBvH5zFIpDPLU4zqHusT5tNJUaaenYJGAr8qe0U0NvLuIj/fIbW1FwcoH8wJ9RMdBcj1JY+VIU
TT/5ZWOY32e1aF9aMAjfpbZgwPv748a7R8pILZSmI1f1lo6Q6m3YSKbDtu8tFMnjTjc8JzDQ+R7j
pFFPdm0oHz/kjCckwaj80u/c7BHbmWJsMEk76NO3AZ6PmblcVS2rc68HNvJzIPeJ3SKvotyjHtYd
aXfdWl7B4EbVRgjwvzuJ/iewVaDX1FIzoyCQVfmXsUQf9BTV2KB6ZttN9cG9cuNEUEN/hwlTUkfQ
Yv0xKT8k9gzm308bZ0DQMWql3sMKdCnPSqrO9VNVJtWbFVdKeLn/aW9sVpEJcWNTx0eyeXP0c+Fd
aNqzDMdHy0+dbCVvVmsaH4Wlo9PKWecJei8EbF/YBE9QmvOGDF6xqfxc1ruLEQnFQXmwD4baQ5MZ
C3d1rjK+HOWhzVoOettgotkpfmxQ4HOXiAopOJIQH1WwSFdUGubpnI9JrnsUgJCCL4JCEjTBLnKT
QWmPVBVurTAXq4jrsYWBfrn+tsk8mxEVKdlvkAJ0+0QezqrUHfld7UdBe0swmEFzYVu5RZo3jTHl
WdLL/oiW3msvdfajYqHSf3+37C8CsLuEaKK4Rw6x/Y5OVIM7p0Lrzw7IgslR8r/qcp7+qEypw8xe
j/++P96NWcFZFfUHJM0xdRZ//p9TWNa4ddKD1v15Lud/0d6d59PsaNFRYL8PKXj2qK5QfoZFv4N0
xK2KqYZaFH5cxtrLYPbh1Syk6ClLwvpzkgXGOYkM9UFrjOrD5w/gpCqks/hqAtyxnuHQW0pd6EXj
50mQnC1joQOPCIvz9aMLKfCZ6JgTbOI0s8XnpJoxw4DFqbI36+QCZHR8WTTrKBUTW3ld7oTQiSeR
ILgAO9qyTxSzaRx57GvfkMzulGdW5jaz8RtALJ3qR3G2UFhz27r4zGf46/4Eb4AbGFsI9BNS0BCX
N7m60SR6X81y7dvSCM47EkSR3LaaEyzT3i3Krr9oWWmdqMM7JyNTyq8a2lsf/5rgUokP6WfwKG8R
o9pIIWippJZHeYknt4nlPvXMpU2OjN72B1FETyJkI7em+r05GLEFeqzNpY6+mmp9h2LWzScznG0H
u1B97k9JqNbLp/tLvH8SybCJn6i5U0PYudlWqT5Jel1BB6NZ8gmsVWn9auYkrU5TTuv34B7fj0b4
CweZFIlgDXbW+mDQFSpyboX3zkX5oHWL+qnnqkZNpTis098YS9RFEJ/FZl2IXq/HMurQ0cM4LX17
TKJH00xgnRZ59igtqnLw0u9vNCJt6Dnoo5FxIj28HirmOhtZ4dIv5bo9GdXUfV36rP1y/1Pttwej
IO0LN0BQ65zN9pDVughCOJx+ainNqShN6Roa9uDbSyx9yZtWOcBS3BiPtJmLhZcHi8OtuVwaLcHc
q3Hla02nI/Qfa9nsSkOIuzcggTTxQgNm5+XDk2Qw8gfgQyJQ3Jx4yON1rqVmxeNgIXjbLf1zB7zi
HFR9e00rMzjY//tP9y4dwxyFWy5khfWny9Kop1RMVw3jtR+J1kmXcK6n8/1J7V8iWmFCZAzUtIng
3GZ/mAW6IJ0GKkVOWsWLUBj4UqG18lCE809LibLQrazCPtNx/nZ/4P0ZIHIgoyXTo44Ll309uyLU
1QDxFWAIeTEsrw6J0e9JrczDG1hZ7cOngAuaVw9OkMBwbg/cZI1xCeWcml0dpr42x5FXUyo/SGv3
H+z/xLNEbgtOcyuMnNUpKC07WvxinMLpBCXHTjwEzSfnwzsRsiwIBxD1AG9ILNdrFwdjihdSr/rJ
NOXX3I4Gr7Wi+lOKBelp4K08yMf23wq0A3h6msrIk1AdXI8nGWFiYkGk+bkpqQ5WqlpReVPQ1M6j
Xurm54/uDLwWOGZAYihGIImyHs1oAGEnnGvfalrVW5AEuITGFL12mSwdLOSNV5xQiFAZrCeHeqeY
3Yydmjlz1PnFEGSPdqJCokqj7q9Oha+OSmE8nMrOkk4CjPaW9lVcQDXRZu18f8o3dg4IY1SIBZGS
KszmMEhOEkn8SQ/yIS1PXZel0ouJDlZzcKXsPyRSV6BLCciE1Mw2y4zVIClqIx181IZ0mlAqbURQ
8NJT1I3KwZuwnxP4KYoF1JKgz5CPrT8jkAol71GK9rUldE6qXI3nlPDEvb9y+0wW5TjBCaWXIYhp
m82C8VKiDtjQ+vVUSn+MkT3Nbx3lwIe0HcPfgbwlEiLLxnxk1yF+/Tr0hKNGPQRqIZkC3Lj17DSz
VqymrCZ/GWvloa368QF2cHpuyzR9k9BS/PARRNiNiwv2OjhP3r71eJ2VNi0hHjdYNOfIMSTdpWhb
/RTDozkIbXcfDuEeUPUQCDgVJLabd24oJmOExaOxpMiID8poXdohTj+65cUo5B/wyAi7eMTXE4qM
3GzALGk+edK/il3brjpUH37dGERgBgWKlKtrW7qlnlKj1hmbEF3LqP69yq0mD73EivL4QZlL85+8
L53pNUy7tHhMKy2zDwKVG2uJpB8wYEoDIoXd3Jx1mTTpkKWy79AzvHSyZHuaGikHdcbdZhQS6cLl
j4qHRs61+WIhRwOaoSP7A+2hl1if4MIpUtu+6E0dn2dzDMePbkemApqV6JXCO/3RzeGOg6HCQUNX
fNwbop94+Nifczm1X/NSTf+4f8JvLCE5sviEbBhzJznXGSQCVWArft9gzxjMHchPiDoHb/eNJcTb
iyYWXDiMxLYaN7GeB8QIluGnrTl9jWJZ8aaylE44AuZna9Syy/1Z7W5iGjHk/YQJJkE5yfh6+wdd
NDvj3Bo+otymc061SqHqZleg/pXFGpKn+8PtF5HnG0AHRSFSRYob6+Ecuda6LlEM3yFiwEWxUTEf
h61U//wfxuE+pOcLChOFi/U4cjyhqgnjyu+VZHjL44Yosirbg2ds/7EotAE5oFFJrsH1sR4lqGG6
VlVm+hy8p0bOu5NkVH6t2NIpSeof96d040vxwpgEx7zLggazHkwO7Dq2y8EQ9tXxSXOkDF9LtUC2
vz5iGt0YChcWyrLcvzwtWzRbGHS2M5iz5WcSgKK/cs0q8L+oZBSn456y1EGgdWMZaQQC9aFyQltw
C9vrh8hKDeThfZN69jPNL6txFafLHsxQBp7eNdJRq+LGBFlEojpuDP7epjSVQwRlmpXtm2U/Xjop
6S9BhpvZODQfRhSJbpagKCDDBUVsC/PszMyo5HlkqLjD4wOFNm04o2mDDWdZZvLBPX9rYsDuBCyF
8jXjrjcJ0hDFMPem46sBCjq9VP8WW3H22KrqwUG+MRATE5J0PJlw/zdxQKw0oZkMQ+DnUBT8KbYH
49w1bfNN70LpyE7v5mAgHfkLgCWox/Ws4JZleYRfIWoUZqW7cWD3f0htBpoD/PafHz5mYOhElYJH
jKRwM7ExCuWIcDzwE9WYTlNZlY+NBURWaszT/ZF2ISMpDCUzTVDphNva5vYAzF9XVq0EvtmUyQ/K
+sYV3XXlXNTTfGqTbnmoQid6vD+oWKpVvCgGFVqFCO9TJtk26ZYiM7HbZdBc0tRLatG/jRP7SD9+
f6K5P4SXiCywUeBiNx8s5nYaBoNXbMn/KMflO3BqBFTLxnLnuP7r/pT2u4PBbFGfp5INkWCz55PQ
rqU+5hYOlTo4K7VRPFEQrh61JYkOYGb71RNDCXQIyEfqymLe/6nLG4PT9fMoGdCs40U+B/zLCZQx
EXDfn9OtgUDbo/PI4omWw3qgKtSjJugzCwa5Pj9mkWE8csEcmZjsdyB9VAplojJH1rK95xuaU9Nk
55aoRGQuNpiI8Fd/Tqr8ZHTOJ0hj3+/P6t07cL374HlABgYWCEwVNtV6WrlUm3Fcj5YfK8NrnzSn
pJpRsIf4Nlwdub/Eeos+EeXpcnFerWIMvdrSjoguYj/sfgRx6ruhCpf/5oRDEePKgqbqm2je4d6R
1ZmnUp18zJsIOcwSIeZTGlWzG1hD/+X+CtzYq2DERbwgTL/IoNYLkKSSbnRBaYm92rhgYKRHaPWo
uTXpkd3ZraH4qEI1QmB7dmewbCKccBfLT0DDP9tqalJCowVYjIFycJPd2K2cqHdWI4i33Z2ZVIWF
aQwrWjZp83cO3+ffxqo/LP9IOMdtwosDXIrF26wdyVFnlph5+ekUpZ9Ka4xem6SXDoKR/VwYA0tD
AgNOHrqZ6y+UBdWSGemcXJH21WBbMSPZ06NyPJJdvDEQAbe4J9mIQI43Rxz0bz2MjZ5cgdTISEJI
2QkBQNX96IajMg3hlEHA02GDsp5OLM1E4aGRXLupnc5oKixeP+jKAx2N5n8YSqQRgOwBju44EFpU
zijZlek1yiwlfZ5MKxg8mgqL9ljUQX5ECt+/MVwhmNESEQi+2lals88Rr+VVTq8oW5Smu7Ra5UmN
ob2GbQZiLycM+vClLEYUIkvEGlxi8notcSqI0rQe0yvL3GAz78znhATq4IXen9v1KJuiapCq0GOU
Lr2CgHDQ9TXjE2zJzq3qODuY0NFQm+u4lOqyifEPucpG1V3tpVHftLpvP83W3H+08k3DAoNs/GQN
Ae3a+ncWVkUSpjHUFKJYFiaj5bbgcQ8uopt7gmdFBNts+C2IU6LImpSdnF6HRJZcLC0fps5CHMR8
6Zuu+nDtgSmRttC3EK3l7U2BxZ2RtJWWXkdibM/Jh/kcBH38bCfj0Ye6OS9TACkIPPaguHIqp5wr
K73G2vKaZckJmvpzHymG1wzBEQ15/z5S9BbFBxXWqYAgrLd5P8y5VVA+vJaLEX232nbRXBUnE8VN
lHbU3KEQahrONPTTacmsQ+HDW7sSIRsxV257oM3r8SsZwoCWZ+m1qSWNfW92jZeCk+u8gSrPwRG4
cQuLNhpRCe50EKLFn/8noutw3MiahDPdoaD6SsBdPlBcDx7u38I3RwHKTNca92Zwr+tRzMg2px63
s2s8Tg4G3Xr8OHXDUZXxxsKhjkxkD+nCoiK8ebq0WVaprShcwCXKXnFgLYhMBzZKd9YhC+3WWAIx
IjAMVDblzSaJSj3PwmzOrkM9O+pZyavwTysI2sWdB6ecvL4qeTcLy4R/ViO/+28BG0nxlNyS6dIj
CfpSSsbyb98UzmuZ2I7k8rbL+ofjdaDciJ1xFXDr0Kdar/vSy0ovZUF6TSlx/QLUXJ/HUer/vP91
b5xOcE7UH6l8gp3cFleTSapjVB/T6yyZv6da/GiD5zwteB6GqXr0kW9tJWpANH/BBoBH2ix8HUX5
UjZFdo1Uu7zUfSlkI2bAHgev+c1xxGYlVhVMzk12arJRldSus2stBdkpQk7ZjaxYP91fulvbCD0n
sWxgHgD8rj9QHY1V3PVVdo0r7XXSJQmnn2Zxhzn8eEZFUg/GQbTOQZ1t2WSl4TTSOOjZVVrS8ZQ7
1nyZ82i63J/PrVUTPuVCt0VECZv5ZEUVddQ/s2vhtPkpn7MBcVZN//U/jMLzwuUouiPbg84LqkXo
hmRXgJLlZbTT5qz34H7+v0bZqqVR/JUrNZSyKwzv2BuHlii1m4/0NW6tmGjqCs8Y3tBtbccKmWJU
MUqHRKxXDqnKTYDu9v253NhnpLeAC/ib1tW2CTgahaT3ZTo/z3nYYPuG88HwIqda/nWeQu1I3/nm
aOLSEe0pGUTKeldbURzrJiqtz+0I39m1C930AiXVTm2syz8/PjNTAEEoaJLqbfVJIiMLErog87Na
290DqOE0c1XW86eSRcPBMyZ+9zpzFn1U8hHQ16IAsrl7Knmci6EylucoAeoNpKBLu+tgj3J1Ts0g
1s+plNWyZ+P3ehSU7LeJ8FkxHYFAoTOyvfaWbCl1UOzqs45T+ndjRAMxMWA83F/M/SiwnJBRZa84
gIK3xdq0mRrWE5MNNTSXixrM5ZOsDNVHIV6AjkUsgMeKkPbYxsKSUjRLqPcYOaJ58anEcv2plyrl
gkr60Tu9/2IiVxYCdu9p4Ja5FeKnOE+WcPDLcsvTKjP/U5Vq/a3XQ/ukzJLylzloHwbpMT9s/Og0
0uChvrSJdlTI1vOUMj/6mPHimr3Tn9SZz+cNMQh6axiG6OB835wn7E9KqUyU+ub6xNlVAGFXeIFr
8Si74WRFEDIxb2gwzLxQ053dxDS/fnizEFugf4uajqbvmrp5HxhqM2JHEU/meJXGrn/jIf6wDRll
fKhwgB1FmR2kzXpmDn05K89lRokk8NtmrD5qgVw/3J/L+zWxPtqoq+EZwAMp6BVb/IJjx4UcSgio
Z63ejr+lkZYViHaXTfs1B0IXP4l23ujmcdkNbgC9sR+9JdFRfTNqGVlyIvM88FplFv9ZS6f51YnB
3vpyVFujqzlFk511LesaF1y/Y6A6GOe9B7A/PXq29pcvM2EjiFY3rOrtE7wgRFXqFjNpaw3jNowL
9H/xUcbHtE2X8lCl/caVITIlQOhCUQn90s33CfrCiYwi8hdjMuVzj6hZ/ejIYW0/mEGrKNdhRDnb
HxS9d76hnFeET/zCnArMElPdRxm3KMAkG1LtaTMGvLlrBPMSIpAojV/V3uolz561oHiJ+0btXrs0
GBOvaeVJ/iM28zx4MvW6HJEWQOT/29iVzvDhlpIQ/CM/onCp0GLfXPrG3Cy13Mqpn1Y5eXQ3x5fC
CbPXljLa+f4u3AfSPJoQlSh4g6QmsFmvJT4nSLokTeZ3jj7B+lqyc9PYMhgCdk9QLh+2rgG1DzED
9B/1HIh7m7NlV04qB+qS+UPQNPlpMYLMPnVYV3xR1cSQD+Kpd0OF9RmD7YloPABpPImRkV9PL6Dh
SIeC4XJMMLrCXfpa63/YgPSsU59S6C5ctK0dC8KNjgSY2yatEXqjIdvVJyzbQTkkSh//0hoT8Vo6
9a15SZNQ0a7RVKMeg12GU3xz4kSdTlVoqf/gQxvkUKqNAs59qEnR2eyo1f6eqSRjF0lb4GVMEan9
q1EMzj/Um+rEVfk9jr/0s9w+ZCg4DwffeHde0FWg5yWgiTy08F7XiwDJtEjmskj8Yep0d7ak5JQ6
2RFScA+oA+nFfqUsI9i89F/Xw7RVt6SaDuWtwR/lPDcKwslGYVySJsjdIYxUF7Mb/JAKAwEeuosP
7bzEB3CY/VSh9uIH/Q6FocSw+Q1RWxaEt0DzEWNQn5QxaH9Toqj97f6h2d13lNWQmBIIRfIb6MTr
mfYOsg6IVTTIggbVabbnykvyQH0w5Oioc3JjQjAzedlBKgpn1k12U5Zai/WF2fhVpv7qjFRHwgWP
mPvzEf+T1SlhPmSdlKJhYosC23o+aR5Vdrgsjc9RSPVztXBET4EeG9pJqtvReJKpHJjnkVLH37T4
0tltW006ekXEt9n+CrRNGB5+GjPd3HoIarW1ZSK3nddl+WrEQ/IwJfn4gC2jAWi3t8KHYrKzf9LR
lA+ARrtbkCxV6PJBNQDURCNivQAzNVS9wZjND6L++5Dq/VvQt9+M2tae5STKDm4lcd42ExUe37yY
ZGHCbn49GnqmgS7FcedLZWM+BrIG7bxKSjT14zIPWm8ei4F8ubGXo/twP09onKLPjpYeGOKtRBTa
eQYWRgig5A0KnU+jlTLdWlWiy1APVfbcBGVdH9w++8/KmKIdQkQscHDbw5Lj7NYlweS3y0DUkhWj
JL8UDR5X8amVa7t9GYJuLt+qKkq/lWW7zJf7u3t/WokTyNiJ2xDFoni2Xm6h2KGMkyl0iBTje5o5
8pMuL9CucLc7eLj3pxUpda5atJeJUmnzrofiZlSrMEAOKFPj8aveJ/PbDHToIJm5saKi2AEoFMov
lLXNhOhhSY2ccYuac2pIHiJfcudKFiyWc1EOc+NjHWUFnxuSxMGVqbTmB7fsfhsReIEkZgdDBETY
Zj3Nvlf0NithrMIllUQhJDVbrwzNPH6BQIRIZwNp6IiDsf+MIskgtUFUFq2KbZDpoBwI3rZd/DAd
ylPYj47ryMAC4Xt8++iG4fahCA7rCSugnXN9uEw9KiwKFNLYMB8RhWjPWq2ED0o16QfZ7/4qwCuT
1h0blBNJtr1eSXBuepHOteJbmRGg09WrLWSWWf1CaBh/0ZSheB0lJTo4kjeWknOItCoUfDAVW/SX
gQbSvHSARp2xtR8R/whmd4rr5nNUop94fzH3mxW0Essp7Fq56rZXjiVE0LLaUP0lp5COT4QSkeZH
aBBfauEu7oVR2vdvppKPP8OxVI46iDfmSmYiOPL/B03cHEkrUFPIu3Lo68LiS5/pxOMhND0VGEIe
nEvAvXyu9c3+XmcQZpNkxsQY68+pDN1cLOGU+1CQhuKtlIakd8PWiBbFNTsU2J7DZliSU6gobfvE
dSlbntpGuvR7VsRJ+LXuoaD6OuiBr0OLIGHljeYio2U26kXSnjo7WOKz5Qit2thJhuybGZj0XYfM
bQsS1Ihd9I20svFEsOstU6hbbq9L6QV9jPw55XG3L+lUt7+BgpC81EQqOB/CP2w9Gtw0RvgBa28r
U5BwRxHC1Ye698rMyDq3TZu89PLRtE6tOf9dp0b5QivTSj8peqxomE4NyWvRWdOjY2T6U9sZQXIK
KvliSc7SnrHJS2CZL13rAMFDDtc1m4BqrVxpSlLz4xv7U5NVQ+PlTh2OkauBwLW9VnKsZwPzTig7
3XzNNXWcvb6fpX+bbiBODyEn/xLe5IE3xYrzWtjdJR5BJSEFX7t2r2S/NZ1Gfmcvw6J5Fg+qGy51
9KAhM9l75LO26SJv9qsIFM3tVAR5A3M0zjYh4+QuVSHPwNFw3pgDbQHhZFSn2Ao5JjZKRm4QmJM3
4grSe11pXrQ5QztSL+STzTMqeZDggJoXCT61f/X8B7/0ucaos23mVHd7R00LT0uiKDmnTd/2zzY6
VqOHgGJVuUO6ONZjpnaQys08MLqHOFzy5qSlyJGcce0IlUeqTMEPXZ6i5sTH6TnBRd9P/NRoWXI3
alGE8FpdlrqnXgmL+SLP+dIe3F67swXEEk4QJVBUByHCbh6ipTemCrNHmAmtHdF6Anfwm5q0ie6O
ltx+vX+R7N5W3lNIVmBkddRsuEvWZ8uJKkUd9V73JaqWZyPpv2dFfqTEvouEocZA8KOGTBsGbaJN
DBqacyLzTWzu4xjdRo3STOgt+tIypSWzP8uzXQaerQ8N37qS0uKTVFRydBAg7t5X8SswW+UHABHb
8fhLu9Qkmpe2P+k2He5QpufnNO2LUSW4lTu4TN5f2v13JMBFNVLBDYnK2s7KZOw7JGR7tNuUFoVQ
K5ziv6IicKoThfb68/3B9t8RkLOoAtBvFoIzmwtZrrtajqjg+INapJ4Fvew0FeURnno3CnB3ofAq
HFrAN2/JjdSSjTDkwvDbMsHxUq/DNgLMHxTOwbfarR0iCGSCcHktRiRPWG9LrcyGIMhLw5cw4zK9
TE/Db8OgNf90xhQfgN9vjAWemYdMQLFQnhB//p/O+WyUQzTEtoZlT1svHoJorfk0J5mqnHDyPNRi
ef8Uq+cMiBSlDrT9iGYJFzanQRpF3SjvKSmG1dBTUhycwJXTvB/fnCDC8nROcucLEJM4flRrlZq3
sdj58GzkxtCdGjwrzJcyJGZ7XrCGjA9Wfhc78evo92E0ILJWFma9GnYTpg0PPzwKisFnnJqil6aR
J5B9UknBZ7Kql7yBrXWQLO8Op8j72cACjwTCZquVNtE7C3HwMv15iqyHvHGy8Uc41Zn10FfBUJ7J
5ZeP9tShVJC3URAEdrXfzHUaB23ShyX37JAGl1S3MBVrF3s8uAd2sRq4Gjqp7Cy0KSAubVa014vI
HoJk9vNCCc4x3Hs3GYe/nSp1vlrajJhBGeifw2I86hXuT6vQbaV0zN7mF7yXlv6zsbUkTeHpVpI/
dLrpt92YPANc/XDtkUoNtFnQxAgLgdDbRGe9EduNEiQg9fF7YR8b3Terr4PXxTm04tnvTQwcscyG
FCDYN1skqJP3bVdYtUMimGZf+t6yH6Kisy+1PbYnq5ODf8z0SJdivzHf3S34cPTShGbY+jz0XRdX
Mx0iAMyR9kq2lGGONipWdrLbWZofIqnJnY/uGKqrNMXBeojknp2zHrOgWVHoxuj4hqJU37tlsh61
uMk94Dd4M5thlj3WaZb+WRWdchB83NgzDE0bSOjMIyK42ax5PVKIHXTHD9JAPeMNrZ2ddNL+l1Ho
qFHtY0UhXq8nCCErbuXWcPycwrU7SoHutujSHCzj/mLHTo/Xil6TqIrbm17aJA9digqz409qUHoI
Ttmnphqbq1lSI//g88sXYwDSE6qj/ONml1jV5AyLCaS3zRPlT2qL1UtR5NG/90fZ3SSMglIrVzOo
VNDJIs76z4G2orLsFkfsf2rgyy8LJ483bWmL8Vc2R3brSRbx70VHVwTNQ0nJf90f/tbe4J7lGIhI
iqtlPfxclb1c9qHDQxnEXptjViIv/XTwAO2CRSbJlQK3gzGgIYtf8Z9JZnO1jOiU2H6GPoZ+MiOr
BTuXLlHv9pnsJG6MK9afWtXVC71KmI6gBNLxCGVz41eAStEJ3ai6o8SxOYLE4JAVSbP8th9s46z2
U/HWy8ssu5E+Olet7SPHzRJ1WU4ohEfqdz2PsCL+8IILaV6apZSE8Nbc9FkUqeR26FvHd+a4OOtB
gLKYU3QHo9y44bjaiLIoekFJ29appcAaK7WxOYz2ULh4mP8sAyV2Fa38qczWxx96enDA37kyRZtx
G6jOcaAmM2qicOQG+RU6R/gISLd71RrM1Cw9OCJq3rgERKmfWFU0nyE3rrdTlYYRZbck8AeM75Ai
gJyUjLHjWo25HBTw3ldqHdkBCiYwhhmC5yTw1vVY4SSjKoJb57Wd7KU9pbyZQu4GP1Q3TAvt82Sl
QXYxEbb9dyiRI3gznciOXalFKzWL1GHwIg1d/9OgjNXwvSzStv4mLymRdoRCbu4WlT1bJzl0QuOt
YnmnN6XEqf5h0a3pF2GdkT/kQ9EnpwHxD/na551dntI5oEU34Snen3oT04nHfKjRsdbGFlMIdeAs
u0PddK9jJ4W6p1hLorip04fJJ70vLHAxRmPGDxXtjMlTYGJ0pwHMpH3K8kDTz2M7FX9lFhr+D0vY
aAOHVB9Kz5EU48eAy3Thjk6n1ycZJgrIO6lM6sdZM5fSrR0z7FGSF5ezki7T/DwWFrK8VkVkdrDH
9zcn2ScAJpEfCYrCprY6NHIPFB1qlR3K19EaVM9sM40ij4LyeoLezCcBzHmhiX1k6H4jZnknTnJv
kl0AfVjvCYJdQKIVpwvK9XxGe2MsaE3K6Uvfx/05tbXlkxKkdngQT9+4q8Ex0HSBNiNqZpttn46I
Y45RJ/ly48TNNxlHEzbhqEr5QRS9X1kgW1wc5PWGaAhvVhbq3xgpzRBeIzuov+T1EMQnY+zm7LFr
AjuNXJWeZecahV1bnwcbsuBBKfTGTEl7oSEhK057a0vFwnXSGqw6hH3Y98m3cpb1s1YO5kEV8tYo
MDaFdLm4TLZ8pyk18VvlKPvjrIfnOJpiT9fbDzdV0N4gd6ceQ+xFF2ITsThOTcLSQmpsh6YYXdXK
lkd0dqbQk+riyE5uvzN5wpkPIqdQyMDcrXcmDoz6WJd5eG3Dqb8O2DSdhok9meVa9EQBqvyBu9aR
o+x+HeGKoUlJ25w4aScL0CyTk5WDHV4V8knP6ZqQwKz+MBpX8K+RUaSyJTR9tpjflA5DM0RmeI2b
UHnSc7v93aG34UbqSNn1/iN9YxmJyGgmQzCnWLEVbqTwHII00sKrni5eaXZ/oY2CP0vZPZlUsU62
dHDg9g8ac6NpA/hTSJdsNfpiO1OiIEijqzPacuiGWZx5dAn1b05NGH1/bvvQgKeMrrGwZqJisd31
YVpKS4397dXoLFooy/QDRam/A1MeXFhYR85I73DS9ftJ5QtrNWDU5OW0NtY7crKQRaqaQPJHu1YS
rxdps28aQyjzWMSS/DNIB25ONL6j1AuBKyEZDaisfBiQhJLdNsoU/UFJDaM7d/RcfiJPTGOiG9US
FaeysyXP1Oey+vv+It34IELEid9L14n8d3PVmqitW1pbm4jKoyxPh/3vBPDUc6xmB/H3/qqlYgRX
gdscjSqKM+vlmR2ex8FJTb8DsgAJkr7SF4KEafQiydbesHLo/SmvzU+1HrV/3Z/kjXOLnC9YCSSf
3wtX67FtPU/NaURogNw3viSdKbtU/ZyD/XZjKREMYcPR6gFVswUWLfQ3hxqGtB/HlvmSzzJNCxjY
4w/oJsH3j8+IVYS4SDIj8JbrGdVTphIUmBYVp7k4h0XRPleafXSj31o3hC4QQmYIqjCbLV0nU1EX
U2T7VU+vpgKEQLihH4U3N84pJVka8fjCCQW/zVxaDexXi9I9DjPjH1K9fJ4qIbRI7uBqNWKaH185
9iEXA9csedrmyY+SKjGWcLB9jHvtx75MtHMlGUcIh1t7AZEQ2FP0/dFZ2YxSDWqONmZN08Cwpt9n
ukQ2Ca87Igvx7/357DFWIKxQggLF/M6p2LpwOvkYmqWk2r6Ox0XlIv5TZCfH7runwrD68KQ16fij
HMgzXQL/pASE1rWxJ5vIY53v/5Zb+4WfgbufyH/B5K535VjaRZf1i+1HkqSQ7YWzp5ul/Xh/lFtr
y7tPN4bqp4N8wnqUtoks+DYmEx6SwZXMsXvIgqJ3rWU8yr9ubU2g4eSwQm2Azv96qCTQpqrSaEyA
iWx+z22589VB778jbKm6dqk6n+9P7cZzLNxUSRt0ohvO3Hq8Xp1HI8sqBzeRbhkFBaN+LBcFJEVU
dr/RnM29qK8+LMAv5BrInYUKAR2SLUIubpVSmSYhjmInyBsFvfQylnl5ts06/B/uLdEEp1VBQoP2
8HqCI8zMIAo4fctAuzRUOstrl+rIge7WPqQHA2AWHxFR+lyPUsdhNBoN+1CZ2vFZKtLoDA3/KBq8
tTmEqJ04d/Cmtq2QEN3bsMonbseB3T4W8fApjsriZbLk4jEMi+qf+5vj1r4nLxaiFw51uq3oW6XW
DrkvBz0huHqcQ8X4OssII5qRrl3uD/X+HTbBDNUjEI3vPUCmuF7ByEZCKVhkx9eMCaM4fk72qXc6
TXGXZdQ7L7esPn9tmlKJXFvS0ElU63qR3LCUkk+o+2nfusEslOc5TbOvjpFk30LdmH9USLD8KIJy
/gRrJfyZ6F0ie2UrfacUql7yIAF00Dpj9TAGtTE96l2V5ecKL2h099Nssc6cBeWHntmdfGrtpMNx
J86prSlprh/g/95Jb9slEFgfeh5IMXK/rpfACmFu/j/OzmM3ciRt11dEgN5smU5SUiqj6nIboqoN
vQnaIK/+PNS/OJXMRBKawcz0YLpRkcFwn3lNH5LO6HnsesLPc6n2ftoYAH4Ry7CoMtGylNEvV89t
42eMDbq7NyrLhESZAHY4q2jClrxhADU+j/loix1GZtEDvIwa86OmnOtj2LZp+FiqXRt/NHMl/+/+
Ml7vmIVFA00RaBbh/VrbpoGrLFqaREFt2MmXMTFD383mOcBvqdu4lG+EdyhPwOxa6u+L+MDl19Jj
pwQFzaUs9WIGzKBHGoKSo3xoqqnK/DoZ3cdeTsNB06vw/fUCg8IyFzSYZkqOa/aVij7WXFPFPrsV
TBcvRXiAAPv9cQrxCe0bwFGEsSDtLqeYZRbEJAnTXGZypgZHrRksht53xT4tk5rAtc/f30omhkAg
C4kn8KhXTSPHKZq5lBFMxpbikt2WySmthOLLGouz+5vl+joDoc01BtAB1La6Ju+oeLMXKu7NQUqz
CLD/1B7AaPaPbiWNfZXlcuOAXV/SAF4BZquMinnhGhgVRaHptdPyOXM5HGLKqnvs3LZCkhuzoteA
AB1dYeo860WrtEnNpirOAytLJhw6zdOUU6CTRXhUXOlsBJe3RgNGtwiQcm0gTXS5RUbi5MrTK7AZ
WtbvhdqkR73UEIDXxE+7sJrj/SV7o8te3lGoQUMpgbK7VAvWipaZJNkSyVgEhtHp6YnSBMgqBQJf
+xCabpEGeVtV9ZM04S34coZ+sB8nyzN3sZqav/Bgdt3DqFZtfrDnBmSR00zNywgPA/Rxlo6/K9Wo
GuqmReJQCS1k8XsiUGj27ti3v8yaajFqBL3zxdJ4mfaFrLzkrxhQzPyRIGZq9nBiMvWgZ8h5HSol
6j/3ja0JX4yT3viF5HbaGULO/0Rs9MGfh879aINaxWFSF8OX3jThO1ukbunJruAJ7zc+H6ux+npk
aWQdROqLkevqkZNKrM8mbtsBHYx4pxnzsC+qYj7cH+XWJbwAc5fuMnWBtZSZBrSl7i1RBpFiWV90
RbpfwzGsvndm8m5WOh0Cmq78mzofMcly5P7oPume5FISfRmokW756BukB6tTtyRfbk6IkID+Kj2J
K9m+xOm9HJhmGUzI5B+R6kwOJYjCY9FvJhS3hoLgupAQkM4hq7ickKLYCepPTRnESTifFDxFEIgV
2amGhLGxTDeuI5LQpV+1YNOB01wOFZdeocSKUQaItPbHxnbDo0kReGPL3ZzQH6OsmqDUm6u0KmQZ
KOid/+5HIDTt4GgnqU/pxv16ayjqegvAlurOlVtKm5Stivo3m6HtPuMbiX9fF8U7KYctg6Zbn+7P
MGMV1GcyG4EYEmZEkZ6dwSEku9xTvKf75+jmKOxr+JekfldEhciIVaHgER8YGGX75JrqzlYS9/T+
URgA8BttMISNVnGMGIbUHnSjCvLcDg8K/kSHpiu33ClvrA2MFqZBrELxf921pGQQJ6LUyqCg1eTT
EB8fCrf5LEIlf3eDAQkZQKvgFunwkxKttrVGfajrXQ5rKYeEBqkWPUZZ724szu0J/f9hVlsgjN3O
tVq1DAY7/0dLHf2BJGD00e7acoi8NRJ4CKpesDwNxGUvJ4TWYdVMvVIGaZ+4RyhKdbdLjcj6CMQw
dTfe8xuDQYAkyeOmY4evbc6AfSVp3th1oLv5cEoSZFSqWuQ/auFsSYQtocHqMaJjj6jV8hix+5bt
/8fd7bSRl3oiFsEixYHasNQ+dN1kn8WUaTu9SKwgdxtzK4C4Meii7b1oo+qU2VfxSlUJJ3KHTgTY
AivDsbOjsN/HrTe83j9V14AEfNSo1Czw6beS2OXkcrIivZnsksxDfpStQGxT/ZXVFVTK9CmtjMSP
pukVy+6v98e9cWcs1bEFjYRWAmSfy3HdVplkGrZVQNWq+CamPvmI70552BhluRQu1444AvwMMnIL
Rm4NdUjsecxjTnSQTEmnf9bL2Y52tclFT22xrJuTq4Zp/2msjdh87i3ggX5nDlG383hrZICHcRq/
6DNNjKeu0KX3XA7R0HyK9D6pnucQKTJ/lnPcos7fD1+BA4q/PS9No6fKnKPibFOkdU5Gj4c89qFW
TRgTseQHTwDABK4HBeqsgsTWdurYkhaNvRr+jEezsH3VnaJ/nUHilaTVQyVeR6eeP+lWkQ/HOTeV
zzmlKsxm2zT5zxN1POztMNW/a3U3xvvGGe1+I4+8PnF8SjBIGBgtWMp1F0VBnpfOcF4FUw5t3Ont
btdbcBuyzKw2Dvf15rgcanXi4nxuusRMqiA2nOyA0Xl3ENB7333EGIWi9oLm4hVeV1KElAgmeoIc
PIyUk5Yaxq7GHeZ/GIWqNi8XnGY8Le3Ljd6bfZxg9Ca4JKbZeRiMWNYoS0x2uvHRlj9ovdW59pZH
hYSUbPhyIMlWC62GrR5mQts1rmz3Qo64wZtK0z/iTjxrG6fr1o7gBl6Yu5SWaRJcjti6eTJ0JL2B
GXfuP5aTiq9G1VWqb9GK2PiMb/3Oq+mBNsVlh1DwivXpeHFmKF0j0AsQFvZ9VtbWn6Rbx9OR9Kn5
3mthX39xJ5SmqEjZWrlvO3OSJyt0k28iKWrVh4eslnu3FKkHQcCekS+em/hHDv3C27mCt3cHOUM3
aK561rDLujkfv9jmkDt+N3SWe4xneAV+35WT95mLO5tOJnKt+i7qow5CMTWxyTfdxDJPXWQ3vV9x
ifZ7HJpnZRfVmjP5WP3p1b7EgCxyfZcKRf+oOnLO9noZp9m7n34IlLAOEVoC80Yb4nJ9+AiLY9HM
+iRJfaBIqRwyL818HrotEYQbm4+u/wKEIdmlEb+K0Ss4OHZXmyJoJjw+8nZAFbo1BjpTs3qa8+j9
4HoUF5CWR3lrsfxdS4o5kR7TO5QisNIy+z0jLNb7dVQ3NK6VRNnCIt+4j5jaogyNENPSQbz8kAnK
QXadMJqqzu0O4li6c+JQ2yjzXMcZzMkBHAu2dMFOrKpYHoWWJiOUDiTNms9s0upr1otxzy2V+aMR
zc9N7OX/3n8hb5zhJc92AGq8FUdW77AxzpmWJAxq5VL3BzXvOQPuP2Yxzvv/YSS2IfEMmwS5lsuP
WHpChlXviiDqJuB46FgI60NSYJB0MBOelo3Nf2vNCDBYL/TQKZavAijqVWmqouUTzOoYHgxMkD5o
3rxlEHlrzWhALU7dC/9s3WnwUjMNraJuAk+os/W3BTVt9PM2wS00rd3KC7D6Nt2DQgS2BaK4jtwA
GBI/sfshA5GFX37PTJtxnB2dJhj0ofyZ8T7LyFfgGSq+ElVa5sdl2yFslKbZ7BuRozR+khmxvfHs
3NpAEB2ICGhPLaIElz+j0bUqHtq8CSytMo91Y1afwtEUH6w5aR7v76BbS0qDhdSP+sbiJnQ5VJcg
No8NTBOIzBvCU2TFun2UIQoEh/sD3brNMGpckAkLrXjdx2x6DXFxy2JVIW8+RbnSgQsRg3jy9Gn+
agO33ADf3BgQHTTas8vpXxr6lzOzlXmGHNOKIHUGQD5G8tuLy8x3oywBo7wFOruxZFzSVJJpsjO/
dT3ZCqMRyAXvQqUY4lOcif6QtK37qTflVtB4Y8mW94Bm3yK6CULycmJ1igmXPnK9gBwE2JypuS/L
wXz/eiGOyPMD6oIga91/K/JEG+kr8vrwir9S65jpACWV/mKN0v4LWbYtevt1T4Xa1/8fcN19nsFE
oNhki6CrtJxYJP5U5fnrDJgbRPUz2K3/hGdtdKBvfUpSGTIZug4E4avXvE9KPqHjMMlZ0ZrdNM1e
sUNaSXt/CYTLZAG6gQiiErK+OTUjTMqO/CdoPGipYd0pfii0cjdOYqvOe+P6ZCgwgvCz4FOszaWU
ZFKaUBZN0NcGvXRXHafAC7Pksain7GlK9e5QqOEWBOTWqGSe1CqAz0ANW21KJ7ScMJVxG5STEz30
WasdI3Psjr1u9oE5tOLBHoutiOX2oHRw6Puh6Lku94xFFnlmHjZBSYfjsRHz4Ot9aC7Kds0+KXl3
82qzc3Rtes13RdccQA23JlWS1SOhTUYKxKxqg2EWojmGSlY/unzqT+iNg9y1q7ZEgCIv941qZGCq
XTsLICThxZZY8M3vX6s37h3AExosD/iJC0zz8jJII7gjPNn8mNIGqCHkvgNkvIuwjN2A1d742Gj6
IXYBSw2u8/ptDIc5b0YE74KxHfNfiaFGP7FirJ9g6acfPUNpCEKq6HR/ejcOKH0zOqyIM3N21pI4
phiINMyqCxRzzl7msnSe4JOXG6O85dmXiRBlBCRnl4oNqr3rueneiBGnyVe0Rd0cCqnliOM3NmIN
OI/ixZrCWs/nfZ4l3RMNymlfdPm01/OyP3ZFj1oYIqzF+1YWYjn+CUuDeWllU85chf/tbI922jn9
WXWprBhhXT6msxefrXF+J/twGQrgOdn64jTMX1ZDJXUCQLVJ5BlZSMXXPS3y+aft47vW8m2UhS1P
CMB3Rtbtcqvm2FgbjhTyrBq5uosttTkS+kwbEf8aycAwizAerBUuIpqT69IiFIWsa5JkPhstVeAg
9+q4OY3N5HAX0iYA5a61bfVQm6VRHGzsSn8lSmsPmOEMPVoVtPD+sfN0Lj+VRjzHhd8lnf0jg89r
HAyzdAIcW7XqkEHSaA5tpDrvtJZZfj8zgD1GHxzLknUJhX6qq9WTNZ1LaVP5h4sR8Rt6UFmFkW9s
/DfrnT82/jIYZxroHs8SO3+thOtRCTXVLjXOta3BF6NC1iAfPKFDwj6gz2+jG9fm6UNK0Uz3c436
8BFLMFXsND2t+j0uQtY/LY9R99dY1HbyIVKzIdubooyRTVWi+eRN0+D4mab0Xzt9FBlpV243ul90
tWsc2qRrsq+DNitib1p9px2NGLkSxp7SamOyq6uSNpeKfg4WRIvWF6j9VXOgDm1KzNhTBcPgIiXR
953fOfJHO+v9Rux0Y6Slq4LcHhUcWh7L3/+jul10UO/dQm8DSkeCF1j9aYqGVlGk7O8fKYc/aLV8
cOGXigM1N7iGq6fIhtGb1nlmng0PcRf4PGm3nxU12uV6aH0ajKT4u7Kad7q8LJsGSesFRm0wPTLB
y+mNPRopSq0bZzIwzfZN0JGnGdZf4ZvtJiln9QK8DUaHAKI9TA6KpMsn+ONbWkbbelk6m2ckwwxu
5XjeQ6RuNhpHq2SBURaPDV4Azh2Z0HpK8PV14SSOeZ6Qxnw0hzh6NXLTfbYSbX7A/nfc4J/dGg9A
50Lm44izGS9nleSeROUD0YQkCW0f2FL1pNlJ+mj0EXiDstkS7FsF12/zc2m44CBCzQpC3+V4Yee1
FTpR1plfFP9A6W081rSrHiuIin6FOs8L/fn52KJcv/GMrcOl/xsae5Y32hHQy9UCtpXuQnLFQ1Ao
SeNzLONTF8p/W5S6HsckLoJGs5J9TUp2ykKvxOXSw+9h4rvfPytXh3KRClv63R7JJ+7zq13bldCw
G2qI0KVz+0jhQe5CeCd7pa62WsSrMsLblBelN0SfFrGudVI9tJ5azSKyzg0Rm1/klbpPiqrcF2Ol
PuhNf+57Bp66Ave/uIo2qjQ31pr2J5wdsDIwANb2mgW8l9zqdHwoq9neiUQfThwhPqyVdggB1fEB
HjuyS1k/bdx7a3T2MvGLoVfbrK+b1lZEbJ8bIcZDp01IjmSq9cHUa+c4g7DfhSz70zCW/a4VfXQy
o3cCrd5+Anf8orkF7/mKiGvC9s1qN7XPSVrYR6Fp/S5uxabW5/JYXN68NL8gq/OaIJZAt291oAjo
KzRO1bPQbOkchyakyNAJbBAPQxKrle8g8Fn7eptoH8xWDHI/dHTOdo3nFN1utjE628hlr5cdAhU9
ERTEyWb1NaM115H+7HJDPbdxfZ55WuWT0TrPxM/4djvWS4pexkasdX03U4hgny/fGeDF+vkBYz0h
zmnyEQorPyhqrPkYGcqNG+T6NHFFEqAucEt6FOu69JzlgtZeaJyn3hp3fd0Pjy1Y3n2Zh9GxAhCN
zv1c/0KnioJ8PGwp1N2Y5PK+Lngmg7BynU+LaaZ0lRTmudIqC80jLwkcAA0bR+fmKDTCuXdIod01
PrDUrKLJldE8E3erT3z17EsaZc6GI9Ibrme1bWnQEQHxzlGiXlcWa9yEkdSrnbNaeflwFkmmRUig
CWBteDLWbfmiK3VrPSPc2EXPU2p70jfjMvrXnZ00/NjWda9yc6VmBjnPadE4iHdocFX/lhOOYg8K
NELV8osmdL7EYICnHULAyfdEddG8E5YlwJAqWaE6H4WWt6OfTBSedihlpH+rRjzoj6bTdwgWKJUt
3ykky8XAvc8Fxfd7Sw9Wd5MVA6+TUWqepXDLF4G+OVxqJ/tx/5W5jsh4wejY0EhB8YODeHkvUEo1
a2QHzHMZhfK1yObuNXI76PKDMA40nodjoxTD/v6gN44+ng8LvpTMiut9NaipR06rz3jn1lpXP+h2
oWBmaBgPxBUmPnJecmg8N93Fnci2JCBu7Fs6ozyodMSoSa5fdz2vEkx5cPzDmmzYoxxm7bO+2BKM
vT0K7xkCzhT31xeN2rFPwaI7ZzlM+YHOlPmE/9pWifqNs7Y6HRSTiG0puy9Ms1WGkGgNlggxDLAU
iUFcYRTwmKOGO5Ns2qOw0+zHnKnGRzmqyavH0v7irYv3Q9MOv5DQnj7eX9UbW2lJlanNU5ynrrzO
l0WO9VurYFwJZPWJrshzm+El5EIijftQvniKkR7vD3kdI1HPWlidsC6gNK0DlyiKaguKNjpopRI+
d71nHpLRbB9KU6obt/r1krKapEesJhVRFJcuD0rSW5EgFlTOOYgH2596p9b3hWOn+kZofz0nltMG
DwO1iQfyqlznhpLmWKuclUbKHwW5fuY7otH/CkdvS1f0+iAuW4eHYulcUUhaHUR6dGrpzS5jhWnp
7NR8MEu/yNxK7AFCxa2vmk3S7hDtmQwE9VP9neZTXHIW2DcSQf4Ken8dBHjVPLeRVkYBdtOuX1NR
30spvr93lzAIWq0k0XTLKIReLl2cFF1nIjEZOG1t+4XpdF+gg867so/tjSbOrcUDfPEGTuTyXtNS
NI01q/AuCKqq0B8arB6OoiuspyqOtI3jdnMo3HyJnjByIA28nJUBgZGUqIPu3pefmsSsHygl/zU7
udgopF7vfORqQEYvriEAk9ZPRO11aRy1XhR0rao8d+pQ/NJis9zfX6Tr24O3DvgZWkdvIj2rRerD
RGboiRaBU7iLzWxffm+6VvyuPat9kW3UfRQoBG4s1/XUlleW62qRpEJhbNVuLyZcwjI7Aa7ogmWC
McT/hGXn/L4/txvDQLnkeBHhM8l1B0zCc+Dl7mpM51r6GrmZvPQ8yaf3jwJakPeAc0Scv3zhPyoP
MSFOGgrQMWHed7saKOYuL7QtEsXVtiN4JigCx76ooQPbvBwFDdmF0KO0gZ4N4S63eTsjLc8Q5ngv
cvnNBAJ09FL8Wrj768sBHFxTZwDyzt3Qda/GbNU/h9p4J7DjbRTCdZNYnR1wRaMm9x0mMn5U2KJk
fC1nlGHnxO42ItmrLQB4BGQWPhooXBEWLJ/1j8VpCWi4h9Bq6aRW7Yc6jvbevKmAdL04JNLUnfgX
vS3wqpejlAiieJOAaoVslKEdktnOTl7hGeNer3ELub/fbg1G54xeDkKAC4T5cjDbxFOhNULvnIxz
bD+Wri6ppJbFFPo6zNyNS/yqArU4bS6vBEUh3ov1+1src11NgBnOlils387bzK+s+KDI4ns8lVvC
irdGw3CPDIozS7d1dZbkoCC5Hc3hGSSL/lPWEjPPrFYeOzK7yLci653ta3bhwq2ntk39g5bGOtFR
+171FCCcgQGiaS/ypjv0Vjm16DF3dXkinnynHN8y4uLfBVALFgLV9FVFIMkjqxvx2cZvc7D+RfVD
+dhQB369v0mu9/1ypuAtc89Chnqrtv2x73PYthqtKBGg6KR/8epQfINeJB7+l1EIzbgpFjrFai4l
JCQ0r4AYeLDtD7hSU6AT45Zm2tUTRX2YxVnqJ4vg5roihz0YXgh21wdeOTsfMjURhwEfgycjxegp
s8fpkNfaOwGWLBNZIM1xohcUJWA+XJ6y3GwsBZ3oPkCsrjhqVZbu1aZHMBrmwP7+V1yivYt0YjXU
6mrvLVpeDT3hQC/c+dWwU3M/xQv6WzOSfZLL7KM3xfljpmTj4f7I15kMh2zp6ZASkptRg7ycJVJ/
Ftrdeh/IoY0fsxh0nWnn1b53M9x9QrS/h3b2qzZ0TqJVBgTP4QO18H3BTPq52xYbP+j6biNgpJtF
t0mDzrCWyeQj1HMj+zHQXNxUwG4qH5zELQ8SCeuNeP/GrgLnBwR56ecunfHLqSOiKozOjGUwtGl+
gitp+3k3jL4mmxyfq2o6DCI2Ng7MzUFxb1+Y6hi4r6kF9BbGXEF0J8Acs3yKgIkds9ocAgr94qOD
dPnv1E23+jBXhTEd2ANyyLwZ1P2ugEAkMlHRVNkQ2LFapB9SUVo+omX/hovJ14zm+S5Hz9vvAQxp
p8FyNkVeb6wqweXi3IDM1lJXv/zUVpUMbd1FI7pzYX+UzpTsxRCR5fSRfNzY0cu5XB0mipqLGpWz
UJLXJKLBo7YgJ2PEeCpqS7+MGsfyoz7JP2nZom5jpDL8VTLL2e81PVb2eWci5z8PggpT2KSRtXG6
b01+6SiwBnCNaPddTr7uaXIjOYILX4H9n2MN3q4blZOnFs1pY+5L2LyeO1sZQU+iav66Os32YmRi
94kMQlFLiw5J/SnNf+i5a0G2rVP53eGDw5dIMBv2B4xLfAs7r42WlXZrwgY6iIQn2I8gin05YRWO
bVUMHCx9aMHQZZ7XH2o79p4tvbCCJNJ+1oaO0lRSyeR7monHWHW/2JEZZ37mtkdPL8xdHaFycEoE
uoYb0dONwwDjhWVA3IuzsE5K+wk+vpWpkoex160nizKxtRPUwx0/t6ZZ9xOr+aKLUI/3JjJFiU99
Ppo2Wi+3fgRvJgHOIkBA3ebyEyUY8XmD0smAV6iRe9tFzrGwRfiopbRiXC/rdyJS/2ucJv85uh2a
qfd3ynWYRTRs0sjkxucmWqcsCCw3Qs25hpK+pouZyxcdI85dQbT6IGqxMdsb7xv7gL1AskdjbW1G
X9SYPThpOgVNEbePqghrchcBNcM3p+jFVYvaRxi+DWpiv620aS1AtrzjqDzAWcQEkaLnGi4YJmkc
NnE5BdRFi2OLXgFdFRcbl1SpPyohAphGZ2GhIYQpXAQSmurVU1ucQFKvb/V9hYNhYMxje4ryfjzo
jf2rrOZqZ5T1VsSxnIvV6f0/LA+RzhtT/nJTuMrY6jh+gMJjbY49khp+l5rmxiVxY+stksOsPueT
xvwqrjHqQaurOJkCjO7iF0XXAWqUkYa1wGwe+jGb0FmzxOehz5rfuZP03+7vvDdb86tZIq1n4agD
pWkd/hYO8ug1bw7gkV6e5tGNDroaKwhHoMnbVGH/akRe9iXiSt25FtA8N1JqP84T85hIxdk7k2P4
U2RpuzRr5cGlqLpxOG680ZDFARLoqDWipri6sNsEuXxsf6YA/8/5XI7T/Co9NHr82GgaWpF62H7P
c20jUV1jy942KnfSoqsExIYy5OXyN6Iru2GYpmBUvHpn9U3mD/EoP/A7P7N3MX+sq/LgVKG3N53F
77pWhy+ituTTQJ0RxLmzpX1x49zCE8TOHTydCqJvFZe2Y6ZMYRLPAc0KWsLqOJABekqPdEOXyuwk
Gqc9GjkNktFVsr/ub5Rbq0BBhb6OzSa5orxRIu0bHV2WoFW14d/JQJTaMYj3W4C4fp178XOeZ97/
sgjUwlDFQLAaSsHqdKCzlhv4gE2B6/RqMLkaR71vhaqeslJXUVC2eD18PU5UnOByGf+lwOEsHzMU
9CxE/7Om9Um63K8V5vHf73+QG3c2kRMiGvw4UHH6ajXQzAsdBCqmACwroh1pCmXd12KHPsfcRM/S
kF278VbeupHoLBCygYkwaGJfbkmcXdVSsTAUmlu8NBSZ25/nfi426pzXyA+uaOD+y+W8tKfWQX+X
MLcyFFNQ6VTg96HregdtiojFlbFq00fPEfqnUtTmfzaYgf8UhM6iYwPVCPxHr2tbjig3TyJgWZuX
CmIuqjaX05aWiT6y0sxBY6S2PCS1apt+PaKpumtRXTqqGSvs4gD5t2cWaYfEg67+HB1ZPNt9EyEJ
iLXJ7zFxmmnrS90IrYjjIUKRH/Hf6zpT542GEsbdHISjYX6t0JdQgVVZ82EoTeIIS5uKwOs9dErQ
f/qdmfVpRoXrMfEiSl493MVvM1ICPipgjt8iKLCRUr31LS4vdwhUaMpg8oJKO/HN5ZdrVJl7Wlmo
gU6dtX/qvVB5Haj/RQ+mMKnl0KPPXkruUc1PFC95tWRZ/lPlivUsbIxkm24av+DD7MnDQlHmn287
iPONZp4dBYVRIDJ92G9EJ9eb/PI3L3//j0oJKv+23VQxv3lC8aXNPWOHCKL3eP/0Xq8coziEW/Rd
b/Q/pzZacKShGhjgLNIg43kcD25ZG/kHda6NdHd/uOvEnscdIYAFqQucEQ2oy1nB0PPSyGEPK7MD
ltLoGqPm2UzwnJnd7Nh1zfPQteNHxZkqgiEqigsOXRlfc3RlKhzEJBri93/TMuTF5iCGJiehxgaN
j1tltTmkmc9pqBtzABhkrPyhLPPDCBIGWzOKCmfFqQZn1xhlpu6BiST9F82M61/3f8N1crL8CNrP
PCgL1GxdPG2kzY2NJkNQ1eiR+mOKZ5cfGcUxiy1JadNUhkCx9JwczZW7DDGrR4St3IMTUwJNO4X6
iDLlf8kpqfexRCH9/u+72oz8PDxzINqic+jSpVstW4q+Zzh0apBzbgvfiNPc8hF7MeT+/kBXb/sy
0JsoGfRDKtar/eGqSjYnCOoG1ZjnBBrF35GU35RG+VdY1R5g89FWy+P9Ma9hXzSxGJa6GvBB4vHV
E2aHOXbScKGDSQOmvut6pf/LqpoQpMgQCgw6Zd98IOZVCkBvqZH6c2HYhT/BvVQ35n/96PBbTL4z
VykdX7Ael196MuKSJs2kBo3ZeeKDEhNAPWm8oi8iLSPvWJD3pfveNmV4AENWW6j+g+8hFOzBHaIL
bH67/3VuLD0RMbkKDb+lz7OK/6Kq12uYIlrQGp04h57af0qtydvKzpdTtjqFFJ6Iv9ldbLW1CqTW
t72siEODaRztf+yuBF4fl8pQ78sssoqdEk8ieVLxNtD2gqw83M04Y/yMO2/yfNlPNDj8tNRrTDta
qEpbbIY3Ls7F76PsSv0GciVZEJtktS7UwBSigCF7Tgsttw71qE3KRx2trdDE1nHEh1zTBzl9LPn/
EBX0UgzZjqFDKHquwBZnB9VRJnHIgfZDws8ytXkQMZ6P33oRTXJf1EU+fk2M1ByPujUqymseuoP4
152quX32wsSxOj/VE1H9LYyUVpGPLI1ltfsIL6JihkY3GuU+Kluc7u1pzuRvG3xF9CLwuuiDsssK
ZePavL7KefEpHREK86wig7LaGEltS13IKHl2s0kHQojkzz9mZhs/5JyO4DMHXWggqi0PxLOppMb3
KZ1guDdGlBZ7vdPi4hVqjDA2rqplIS4XaimxgZ5cml5sp9VVBaMyTJskx0vMiccPrdV1P+kycJY1
Wxm9D7EjVQP7GuwIH+4flKuri/oW4iwkTEArQWqsdog6UVuKSj1+7mN4zA9irCP3lCPDhqWYKXKQ
jF73DIUqEjjIo6W6sR5X55RCKmBs/kNPAhLn6hnLx4rAybbjZ5F7o/AxGh2+6E61xQ24/rzsfsJh
HvFFP32NNHcqnhlpqeVziUi5uzN6b2w+qRnSrX9Pblz+F5Kp/MJtCjuG+5/3KlLhiaYVALuH2wEU
4TL/P+KhRdhHrxIkVmqZuI+N4imnCrvhk2lVykZQdP0pl2iASj/EUXBha9UibxgLlyZL9TwJe3rQ
cUA9xeiD7+9P6HoUa9G6X4ah4EUn+HJCSpzrlejb6lltcgs+kXT2ldHUG7HvVXoGq3GZAzIZHIur
OlM3zKGX6V313JtedUJFsT+Nbml+cYbBO+iaQth9f1pX4dRCo6SQo4HeBtG7xhDpnlv1udGLZ2J9
HU9RslQMzAwwlcfJSuzwA4FoUn2OoB3KAxpGzviz9Zq42SJSXe8XYCpQYsmToKKDvb38vMPsGQKJ
vfqZym71oAp9Co8wqmvN7x1tkyZw4zMvnZNFVgN6IUZgl6NZejlSpo3Fs8KWOpRN0TyU7uQ9DJGh
p74G0lTb2D435rdwm6mYUbwEhrPaPmlWmRNQV/EcydTGMycFGO+lTvvdchT53/01vbFViUcW+Beo
GICSq7F6V6rJpKriWUsM0e1MI8L0U9V7KvX3B7r1GekMA0tfuuxX1ZVUwyAR7JHAKTVRdwY2ZAGl
KfGi9x2dgWyU08aAN78iUqr/pwdBAfJy3dR2cN1kGsVzNZKwgy1Wn9CunJ9sl1Dz/txuDgXyzFwu
RoLo1fvg4Fvfz5YQz2Po2cVunlSj3jeWF3mPceeM3++PRtGcn37xEIJPJIx0F0jfwqReHQCIhPlY
Yov0jCAyrsfeThha9QEd3CLA2L7aGwg9f3NtJVDU8VcKif5QzF55nARl/Ykoc+fO2fAie4AOPu6k
w29zFva/41TuJpk5uzjKtccYypZfGmJsdxhikBjoSYZJWqX5Rp/HJ1HkaIJ2pZd8i7UpEJ3hvHi9
rZHkK4pflYtPb+blz5S05Vm2pvuhSeLmQLQ74JI0BEPd0dVVwnx6nrJeHNTYdtG3clD8m6f4WzJp
oqJz1vaHKIqxyen7PX/UcNR75UfRpi92WMqHWkWibUzCPvcT4RSx70Rt8wyQXIv2qeEWn0vDas6I
nmTnTIbqqbSaiZtCDX0kMz+UoZsf+FXy2cWU+lj32VT38SPNSxl9S6nivyIDKH9rogizfT15WdAu
Sj67Oh5b+8WBlp98dkKQN0+1PfOxPFSzvb8sPGPSPXhAlmfpzn0Zy0Eb/LzK9frBm5zqdyPHOPYb
tcY/q8LkMjtOhU2J2o8LPWdF5pLIju9tluIZmrc2e09JpDgltkTC+ds1xzR5cOWwqCt0xTA28XPH
0zx9sVWo7g+YrZjhN0h+SWvv+hRlCWun9lo3PlhOVv83SAuorhvL2DyiYiarU6ctimZqksXJcQbd
T+wGF4mMmKPVHEIF54C9MbVjckRrTMwHmLLyrEAR+n/snVlz1kia779KR10fMdqXiemOOJJevV4w
2NgGzI3CUEa7Uiml1k9/fqJqunkNjafu5uJ0R1QUBUZSKpX55PPfHs2x7wjrFJR709a7WZIbs7lE
ylN4JM9qXcxYL3VfRE4PTTcM8GwmU0WfBx3f5KmWZ6oe8vZyCch2OnNUYS4xJ4SmvZtRC6oj+PGE
d2Fa0wnHrcKlQCD1Qn8Ng8sxjnVbNmSBdWVnIrPwtWz4oOqy1+6stJq/Kru3nPuW5WhoIhvErYoM
oQ9BkgeVNx2h3FNZT2aNsHS1/EHSbGOPTUgumNqDMVcCI7J59B9Mu8GDAabSWIV953akDdEBqw6T
I4N3XSv1Kir6NW2IX0sLEdpBNtfHbq668d5GiL09FPmwFu9kPYpPE2FC65mUxVrGbTcMbugJp2tu
0sFrkOUUpYdAxc17mmn2WnIAcPByyfqwrMbSjIgKN3NOhENdf7K6vJUh2MBkjeE0gyhgaV6Otxgo
+fbFWGX1+3mpM+i8CLyG6w7WnlVDpDBMxWV25yxraFYksbjOpRfZQKjYlTN0nrt/QamvLpRDSurV
Zgs6ooPyyCQqCneeEzyH1/pNWqb5eK/5Qv9Kmd7nce5wauMDIp/u4BtyrQi70Kf+ZrHWXt0OgerU
7q5Z6/MVETzSCskesqew4TSzXXii1LtoEw6Nb1f6u5MWcenBkIY4+kzVub8tTCQfpxu3o6O4WbSf
VeNqlxXuX/6NmBcrXxEwZLUXU5BN4ncb2kpwn5eqy2O5uZ0baUpfdVrp44gn3+LNKJiJoD6ulePP
v6dGI+o3WslFSQgxM5nMM/H0pp36bPDoZEsg4jIvy/cZxOgmsUt7mkJi70kXSrFU+JCvmexDxyvy
8S3xw2sb6ms1j5cYxLXVUaPW1mJOCM6KZnq0vRt3xTgtwt3R9kLdU7Y8rLw3FQZb35cXduU1Y1yb
TSf2Xaui8HZqkR1q15624ypV3bxOcSALwrS0THk+9o45X62FiYPD6DSkORm4VyF1acs+RUG5dzKK
rdPNa8dlUkRF2mSkPtskrh11fe2aczruJJGNG62H0EVH/R5PQDoOrpYj69Zq3R6vCT+ydPTpsxlE
wRAMzWsMDyztndDNor/hRgbt4zyhXr/yjHTJDy0T3D3zutraYnopyox51b4Vbn21fXAyjPcErze3
c1YLWt+RN9irE3nYns98A2lqOhFRxoMTN42BfzWTfh4P3lyu/rFbF1XHmi674jp1Da1lES3HNfRh
s89HaSM3C3sOoSps1bDJ69WwUUcZC7Z/YSsH1rqBv0ycrbvp4HlrlE5zybtb6rOtb+gAz0HXvM8W
Slk+Kslkrbq+fz+WZdDEQm+lE8KkHz5JzII+Zr6X6gdP4YaEMyLC+8sOQIaEwsxkzS8WiH7Yy3V5
c8xXZBghZ6AByblo0Shp9eSu59jH5RMftxCENAhR6KGChfmgy94eIukglzzTh2Wx45llUn8n0g68
olrEmodFvWcl+y12mOHSFPV2WFa3d24qX63l+VCNCqXSOGnWAra6ajjX2Xk55pGrpqD6XNqjPVx1
WkAmF4tWKkPc9XyVOJawXoseacQWlmu7dqG/tCOmq0u6acnQNfb22Sj9qkvcJfUeJuGIISZDjGav
qctxCaWy0xZrKnJkj/hE5GZoSL1FqrKSbRsO5mK/29qtbRKHO7zdUPcPD91mYGaAuAoRS8TSUYtE
R7/zodC3RrACbVt7nSlSPujSIeKJQSmH7Ag7rIK4MRdrdygZhf0LqrI11JauDyJCk4D510ktDz1M
mSURHiYn0SSMjYjMdg7MW4QKY3Mz4erV9XBMm6KKWlGMWpyhjvZfI1C3Pm6zY+NaL731TYPVJwTN
2rKm92SbLMOF2qZq/KjcNbfDLRu14RxKlNeGhbHA7uh9Jx8OsHir+ogtUlnEWyfReAA/jtt5Wg9b
8XFtda9PBqDVIsKFatyuZnsa50T3h96PZzsL1jeO1QX3nl22/VnaGeZwu9DBdCOzc9L+rPf2UOdO
pNi4QGX1pxtCV8o6qTR/0y7ZTORH3KCJoQ9EVZAbSpPkC22kMo8HBhs428FL8azKNinemKXXeg8c
/ygRLOVZ88GdOm28IvDObI+ZTx5dtA3kHhwWR9QVS5IlsitYDA15Enyd3hk6SL2OxJLZZoIjG6Ug
aMe0HTYqlR1dBtOK/KZz8nBYLHs72p2Z1W9NS+FcObXZNJwHQ78aF8GWe8Q0tQbM85WpD6qwympI
ct1p3Vg3qm461mqjfJGlmb1ffKbFBbMfSp2e01k7kKZWr5ek6k19shhIQcOxEnn1LrWs4ko1ntFF
bjqVLBuptdYkehqjYHBmmSKD3nE3dj0rj81GpDyt77XXc4HHa1LYm9kcbYMiLMnGQIwXnaS6PdRZ
LrVbcs0sP7aHIdeqEDOKiUKPaJYg3aLZzOv1MQuGMihCVWtkMmlTJWRU1hIfDTTgQiZa3wGp9j7p
qZGnZDbHi5Fq2nt7S7PPWalM81bLZf/BSA28/GPdWZfhzEW2Qcp3Xoj1opgL42Ov2fC+0pFuXRgM
brokFOHd+jZobAJi+rbt3ylTBMF5RvhdG1LgDd0Ber7bJpij5jjHWU4dsHF143uHvt+FUaZueY40
X6HXY0Sq41Iz8zEQnPs5rlun+WLMeuvES6kW+0yMm3avU4B5IVPXWeJxM/w2WtzS0q60RW+KxJJC
XQirrNOk1jVrJQgid1q09lqrSHjpWQbqzSZmKXP0pTnkLMfBBfYoHat92oztucu8V+Fm9AuWN1bV
XGvm6voUYJS/V7NlSCuuOe2toVvNmcM/xeLCLFVALOuQB95FRqfeDjWtNm/JArDKM7urWi/UVlaf
y25b3SC0Oxwa+UwohI+8qTGNaetMxqVoUnu9VNtANNTiW7hLpI5cmGfeVjBl8D5kJRoW2Vy4pteJ
cwoOJaKS6GWSL1I1P1Wb6c1HY7PzLEkB1bfQXZTbJ5VsCusw4/+b3/AtlNNRjjkAUEXCkc9hrNnE
69bIlvrY7C42IRGVOE1F+JFON1ZhVOXnFKepMTYGrcyXqOmkvBZZJT+teWnjEegWaSdZCCzlXwpo
sVlIE1Uj6pezZJkm6On2w6EYNj1nH1+n4k2lByPw8ww2erGaHLqO9EKC9G1AQWUlwaIHWVy1+TYs
IdSxtL9aCktQe8EjKQ/6ivD6TAnSBGFxYEpoxY5ZbPnVJAYp47JR3ha5JazJiP/cDG/2yDTrSAmH
AJia0S8uEBkQx+qaCuS29Db71q7k3F655SyXg1lSonxE7C7tFWxAc4OnEiRNXVlF7iAGnse6gFCl
NxkacHiW2tKHMCi6EfSxCQY/xNhiqr7ADNzkzbcz+n98Wf4zexLXfxzGh3/8F7/+Irq1J8lKPfvl
P66KL70YxFf1X/uP/fOPnf7QP952T+2t6p+e1NVj9/xPnvwgf/+f148f1ePJLw4t2+N6Mz7167un
YazVt4twp/uf/J/+5t+evv0td2v39PffHn9vijYuBgyJvqjf/vyt89///hsNcAC1HSv6j+8v8uef
ePPY8MP/98tT/vOfeXoc1N9/C/xXmKbQm0ECtpNtbLpS89O333Fe0WCHIU1yC8pSSCC//a0Vvcr/
/pvzCqSK7RO7LeTS3AQ/NIhx/y3zlQ7ODY0DW9M99gUK2H/f28mr+ter+1s7NtcCZ7uBJzptr+xQ
LU03ACugQ+wSf6BjOb1vp84YOEmDnNCPXSMb8WYyZ3G7BVQJcb5twe9i7UsCTDutOiMVdnqY4EOv
oSKz5whMXhrEZWndQ+oiU4hlrjda5CvkyC+g7t/As3+1gv64VwYSWiktPCwInrWCck8viWkc7URr
tunecUYzLhfHj/VgM57GadJu26BvoI0s89slpfzP8BiRYeOxWttNEzyM2aRHujtVC9hnCQq9pPKJ
tKM+anvdb0OZqvrLhovPG7fSm4NZsO9ge7he2b1sDk5fDYeFsz6KUpnffjdp/nwx37+IH94DGkSH
PgeMsL1l+Dz2cjHZLSW9o8QEG4ONoX+pnWp+YIswDmOAZcevL/fNf+tkLLkeyUQMJkeyPWvgtGOY
mr6mVLXYCU07842WeUBxYjDi3JRYTM56br0p08b51BFJEZtz590qabG5csq5af2qv/IwSzhzOTf+
sZqcLCbfD8Rpk5aXvN8YyjiYrOCUgDSnNzZQOrgS6X7CAh0kQT3W7+xs+GtMgD+vYu/YPGZUQLXP
YCbPakd/nQ2Gm1iZD8Kt00OG0PAFIeZpr/TbVYCCaVxakA4g+e1Y23dgj+BjyrJZWomYh+Fi1oc1
GvXaJQ9F/TXzuP1S2J0CwEBqwHUDo8PTSw1BuW4C6+VkVnV16fTDbr2iF3e/njY/PhBjBQqBrwmw
Pv6Lp1dp6S4HU09qw+yV6uAK3btQGt2NlKS8h19f6od5APqASxCsKYhOu8rq9FIyyyqtdgYtqdYG
Dbcgjk9fupfgxucPxKrn4cLh45fjgfc8D/uROW2FqWrnxMOX8yqbKs6nm92+pzLsXoDjfnIpwGxs
aX0f6wToEacPBO2B3ONezcmQNma4ZFotaYyO+kdgYJJEfz167j61vv++eTAfQIVTHfJC1DX7evPd
1GsaT+W5rpbEDmrdiODbdbdDLso0zD1yAs1p3uH9Ii+PhsKn8wLTk+39MHjibhRWfj1gSs+oqzR/
KlDo35RNnpqXZpBDLcp0MZ4VzsjJY5xrDmRgV8tBzF4w4+23UY4Xqc7hGKub7oO9acUQ0n0e3rgc
FKzY2Gr9627a3cca0qx31mzM09XgVwENOVV5I3RXJ7vRy8l8sp2525uwdXcjGnJ3YuEtphlue0M8
UliFPWi1Wi/0FoZ/1HBov7MVYGrUO7X65FKXVREdkUWFKRyoOtokIO9E67WP5Mr8ihp9cI9b7gTj
0aeavPHNwvhS9fQ/Dq432Ws82Zzg+eKqpxbuevu6mnQw8dWs2vcmTb/XrtFTw1srh2eKMtP74MHs
Gl9Yq3+cODvHDEQeQfzu+vlsFRnH1Cz3mLw9q9IK5WJZsY37XwKF76Wg4v37PZ01XMpDNEG3Hkzu
OTq9amDfmQl5o5KGdgmFzT2mk9wSjlHatY7t96WG9uPdr+fqT56PKogVckepbS58OlWR3MhF0DpO
3ErTD0U2igmHhtQ480bA1xc+jJ9dzGZN5n87/fQ5MWlAtZRj9rmAQyxE3qTzcs44WAA9pR//5ecC
svrG2OTFBc8h5IFGhJtBi0lWLciPZddUD+68NGdzPViffn2pH792wBGE/sEOwSO7e7ZY6mk2WVO3
LInmlHMcrHVw0c3edla0jfkaafvyASMKXHFJ/HqJZfCTKQPfcGdOQ6ra69XTt1dOXe35TbskNBR1
muECK0QyOpRxXXvKeyRlVL3Ps6x4KbvoxxfJN7HvRjw4nNjnhC7pB70pxklPWtWZB9zfb/ott+Km
al9STT7fiaCLobdCzIOXEC6Sz2sFsLqictNgA4/DZZOU1URpa/UCweFnj7MT1NghICEBUp8OI9Wu
CwdM6IkoujyUvavOgjEfo0wfvb9YYX17nu8u9axUEIPbZcXa6AliFRIa/bw7LtD1//J2x6gB5+Iy
Twohq8npA1Hk7dHV/pZsawN+46jxWOcdWqTcFS+M3U9eED4HNr5k6PKYjM8eaOgIZzNkoSf4zljk
AnI2IbDjJaXh8wqdYbN3twPaoRiGYHhx+kBBD7AysHAmZlm2EGzd2TLR/enFZwDQ4WCt7HR/eQXh
kkGAKBu2EFd9/llPvavTUNATfzDvif9Ql16dfzK94aX8gZ/MPs6ACLIh20Eifs66choY1FU76onb
FusdicHjxYSZzHH1gJt+vVRhTcpAnW4y6KJMDAh2jiSJN89WjNQ1oUV3mskGprr0nHj62jtMIJ13
W2cq7YIzBu2nvBrN6mABdXeHpe8xfoNBEcT4qRgKvrBV37aYjwwomywQZCaFE/ne5qEo9I3BCN2m
APHODVdpwFepWccW/NjiGNhruhBrk64GlmmB8wVhmn0LRmJrnLPqEl04KcmfF2do+nhaK71FOFcU
MuqzbXlwGpU2UQUPf4p9CNVZjAOPABcdZbkH5JIRASuy6BVAyhCQb2XO08fe0JV7NVF2mTFSFq8/
pnDDZITqKZgPw2DKZNM6p4uIU82+WAv9yzMac3YWUVcF8apleRfTftaJ17Tq/E27lNsWqmXg5vPc
ufKlboXwS8SXei0JDRKe7D6sbaBPEVTBZg5tPdPtaAnyRYuGwSo+0Y2SQZKSEGVEuO25j85mVhqR
NmN65wDAqXBJe68LM9CQY9qQOB2h+sw/Ww4+cnsedpWC1AzrRQmhUxwm0P35Y+mOw/vBVssY+npt
O2W09eMe251DRDsYozl4x0AHLk6IAVMlbpRSI/QXFdJyvzaN2dIyx92LmhhW4021uVAGOKGZy7nZ
VLUVGQYGMNeOXPPqcpQTetZ2MnsjNrO++DCQ4G2Hc5qlbdI6k7Ud2jUlwjXLAVYjqlfXfeOverFE
U9Ob3WOGFl4eZDt6T3NmWdXvSoNoQmfWn4tjWygjmqzhHLDRDktfrv7BcgZ53WIJcT8PRfFQTjQa
YOh295WRj190zqnkWfSLflXQj37s69nEmEml833ZtMVlgBfmLcEfG7hilY/ThYUsczjsElo7Stee
I/emeZggjP4MyEasknFFN7jdcAqdtZ0cHWTaodUb5YfcafZJX1Og3sbIoJej/a5ows7T+HbcelLV
tsKbPyBX7rdoyIolgb05zdFuuTWe+Zk9PpRamd6NcDqWC7+D/1aF6+AN1lmTGd18wQgXJjmKpJzb
ETYbc3sp+xI3JpSd1rkPluhdb11VzMByVucFj11rTgHfTb35H/CJAlAIqEMYilnLg2hM+2wOBYFx
ZZQVQGWHwHQHuMfNMo80qGf7rkcoSoh272n2ZWC3M0c9zekvQJ8MPdKgGRUfVoA87WY0ut44oHGF
QyBp4c6HLDfMOnRhmYAaD4P2WWDqJW79TDjz5wX9g4rF2rbBlV4adX6hKukl1CQSj/GqyD+VZjNq
2IE2LhFpTuM+Bm4+9w+qsfqXVMHPmMaezwbCyQ+vDT7VndD0bDW3rRmOw2auiUd4+0Er6vph9FGc
dcNsXqO+C96sjBEy0WkCwEszcV1rlnUoXOFAqbTS5ezXK/FPtk0fbjHGIpxg8El7tg7jmK+JBipC
Mmp84LKXD2oWL6kcf7Jrnlxkv4nvzqGlD2hu+RvFk8FxLAyEhPhOv14b1+3O6jHE/fVDPTOe/2OU
PeiE9CfYsCEyn16wHboN5aS5JSh8sZognsMYwDsL8OHUmbYlHCwcd8LRrLN7q2kh/671aFKhdHjx
RQWimCryPFnfpoa+U6lYjcPerrQnY6yMy01ytkDN7Mv+fLX77uHb3f//VvreSqdw2v0A/n0r/V3x
OD5rpf/5M3+00nmhrzDnwtpP31dGjjz/3Uqn9HuF2/CefMKxdY/l+Wcr3XxFLwE9Fo5HuygDAug/
W+ma8YpOloE2Euel3VuKnL+/0Ev/caoH6Jo5QHMVDkPOszK08IS1oTLPjvSpmzEEwq0f2Ts2RLy5
gRJITH8teGyf67tmFX8b10CwiOPw6VwnnitAWJXlR2y8iwu3t8vDyD8u3Q078+/exPUf5dn3bdkf
T5hcihIRkADvT1CJ00sBRVnpqm3Z0ZKtCRFhHe010QayN/ZoBuP9OBtjcRzZFqFSWEXxki3Xj4tV
QGuANwvPw+f/zxZPbcGVHFpccSz71i/RY0su0XarSH79nD9UwkAXEJKptyn1YZ88Xz7GzgqE7pRH
s/KgjxjY4Ho0DMKi215KI/rhkei/89qgl2PfuI/t6ZCa/lLQ/BzKYyDqlP07LxOLpMsXFsSfXQW4
CII+SYkojfff/24Bprozc7zV8qNf5/Js9iDk4Y1ZvSB8+mHYeBa66XSeeU27UfTpVbLB1NveW/Oj
oTsTSVh1qr7MALlxXegvWgj87JHYsfav1qKd+rwLPc3VAHoxQ8yFh/ilGW2SX1CtvBQ7+k3zfXJQ
oXfKqDHlzV009rzxJlIX8pCqiiP55al5vzib0i8ngcN1IlZ30kNaSLWR6JrXnwnp9rjYWwHJASO+
8uJs7mAWRDa1XR51XebBy1rF0kaBoyx5KGF8+mEJfccPnS3VtWSCytjGG2b1boxDQlZfppzUzejX
8/vH/XEXJjJurKxYv/I1n74pfSY0RxuY4HJp2gO6q2m8cdpJewBJ0z9bq9dbtD1VPl000Ku3r0G6
Cnk5YBFth5Pt9tfjNuLeEpBNUhM84sqS1pal0kPjaVkaKyK/56jsxtZ97a2c/9//+v6/mbecvpTd
zwunc5dmIVqlZ2seoX9Y//llcTQmy/7g+1sPFVDJGtoxPBg/bnfB/QEKnBkcVQ87MCr8YfrSA2YZ
H9ysnqvr0uhI5LCnRkaitaqIPN5pCSu9zPKwxQzXjDgGl9lBNfO0RmYp7emwFaAhlxrN6/KmlurF
jNv9Y3/+WCaqBL4fNiKWn9PXokl/zIWj43fcq0ocevJtssPk9mvPKrdACUP47TiIBxAZ0yNllGOE
YXoQvzC8P97H/kntYRjoFzCTerb+mbS2ZQ9/CUayUH3MUYgy37fStH5IsRTx7iT9aIVRW+Zibdv4
QjXnlmw2K15lUGJ5VAfrWxTxA11IF961yDBQj6Wv5yIUQpefuXW9CR0xo5Pe8knCuDCU9c7rCtN7
U3UcL8K8b93H/8Nh0wClqKsjFpnV4wwS+uDlw85rqCo4nyim2hfE6j/s4Ajr2bxZDnczLUqD05dQ
FdBzsAmujqazNmwyqO2jbUuNt0aRrVdKpd0LX+Oz5B928N3pGiyfNYZ/QRR2ekVBpAqGYHp57AYg
c3gzw5px1i/gT5Lj25kfXOJY3cQuejM7c1Zv9qPCKG33YDUFJ72Z6rQ+t/kcvpCVmVtJOmV6H5Ph
18Cq8ZDQoLbMIRFuS5U9uWkPX7fSVDudyznT6boso28kKhdb9bimaekldpZv/iVEPe3u1zPrJ2ML
rcoHPXQRKNMXP31S1hl4eOSLHKGCNvdAk3nc6U11X8Flirex1V7YyH96Pc/B/It3uUteT6+3VY3s
+i2rjlBv8+sRXo0Tsbo1Z9pkosFOl3L5/ddPuH8ap58wItJdWutRnZrWc0dhY95mz6971kPdhffW
a0YRHJrZK96K1dauObA0ABv9Ur1oR7CveT9cmbqIDxYUmDl8+qzLlMPn3KbyqGMc6EQaXUWinofJ
z/hOq76LsOXiixGsqW0iS7e569K+mSOVz+pCVp7bn/npGIB9joX/5dej8mNlQD44PWAsTuGtQHQ5
vbcMnDAvTYt7a9bxWvXrcl5onn+Gh4Xx/teX2reuZ8PApsAZAIyP08HzsExv9CaqLLM6QosU117j
kiLfeDbg5K+vc7pGgnWwAeExSLVDFJL9w8F5zlx6PP1+Hbaf9mjTWPtkz6NR4nE2LHdrmlfFgYZG
nYeY/tVeQjDo8FI+7+n8/uMmoNTt5yH6lCj2no3rqHeY77L7+jJb4lWf56MPXncjlXKWUJmW9cKL
/NlTUxzvEVA4O/xwsLZE7aVoIUpCpgJc9lZ6B+dpjuin1fAZObgF+4GlC5tQbKUOCIey618P+8+e
mMyIPUTWgVr6PCVNoHspPH0tjzXR6PDzJ3XfIef4zEnMuko1VzYvbIY/vSAMEaR6OMr+4PKhXMVq
bBvlsekXJJFIrW60VuSPUCXNT0bWNC/4I/1shNn+LeozPNUot05fqeo3NPbkWh4XGkULArSCXMty
NWIUFmyiZTHIt0R8DhGLSnqzyLk+//UIUwqdfEL7rOKQjSKawF5YOD8k0Wla65a6cMujQzP7Tjfy
Kz/LaDyPSK8mxPpOcJ9Zu8PzZtf6xwx60d1molOPKzQW+TG3N127mNnF/XskOBr6IksifxiwLnGO
VgcLK2w2T0+xQUO1G1JFB36SOZlJESeK9XGq0vHB7vxpjb05SOGGg7y1KJ/K4jMCCCAJWSgLuYG/
pMO+lSHMmzxjnN+QZSwfpx5uZUS3PxAxGGTWHdw6QKmeZ1oWvG/MoqjDfhkKna56i9VXsSlnondO
QEA0iy1F2bB4+cb5xV7y0HKVaMMB1zjaq94Id1tX+UffrovzeTAG72pUhSXDWk/zMsQAgeiEFf3Q
8EagJqIv3VTyMrcdBf3f6bsyBh4AWochXdihYUu8EwJr4rSEbYoKoKVn0FaXAoH/G2wahubMTDWQ
jN2RoIpyWZDl5MrRPhtyV+HRq0AKQnO0UYkNs3Teo6tw6q+BpHUZZWLp0+PkEVARLbSQdVz5lgCL
hy7NRdJZhoYPX+MO7VXp2LjD5Aq+beR3al4ukIFZ4BeZwH66CzosIWoN6mvoVQQ7wKiu0De4fuqj
CvRWrE7zdP0IjXwyL5sVl5mrLqsJ5yHEu9iuaY6XWCNVENAiMZlpR/xVMzJkyimcsC07WPpD6dkD
Bnn9OJ6hMBm/IszXGHwnX3qIhYY53i9mUGlEtuwU6rxejPljR7Nii41sdr8W1eygtbCWSsaMPgpC
ln8TKdnU44lULmMJc9mypw9pxmJ8KDNrIS1Ham0f0mYnb3js5eRdVZaLQ01LTkv2OMpt6w5oGwVU
CwcuPZJkvbdf29aa91ekdS9Nkq7zYkSG3a7ruTCXTobMaGim+IthsCXZuPorStbtk9nb+tesqwz8
vYdF/5pO9NRpzOeoefQlrexDbmINCdhTbDRIJ4PmcKUttiDosWjv+fraNnK7gA182hym90DtegwK
QP9Qt1b/zmus4CMFegsKJDTEBdgaijtDiXyNW1fzAco0iIzjtmjjMccToIwRzJMPLDwYjiFcYwul
WDd4ebgtzewkZWHUD4iKOsRUjjcM0SIyDR6+sjZMZT1mKchVfjf49SKjFaeQMdRQvSzc8IqSyEtd
cW9xZi6ijDa6f6E6Y11Db+2dLcIet7scrK4fURxV4Gp51ostdCql0NMVqL6wrl1JyXFA0S6l8IKP
ACw7uCKqVVwAN/OAGSLukmIlzd4EKHmNuJwd58NW020Le+AV9BV7Eymsi3S4suyhcUPO5EqH4ui2
hF62LkUyYiT4AlSQ/ZvNhduP3k7NG7x5em2RtS3574WmnDFiSNX9DLrVxjokJ7RcPXxC7G39+s4s
VvGpnKqnrsqUFmkQN69qvU3pgPRF04dDi3/dW3vsrY+4XHYq8vEaeevYoiMCvQ+chRc7BVctVjDB
YdYEh9Exb4QXzc6q01lTevG63GbkaL7Trk1irTNVf9qn8xpDLa4/ynQUTsS7bvnPCJve48ziRFNW
+4gKwBNfmx60AtbZwHnv4bedJe5WBJ+gY8l7lA61GbpSbeoiHRuUf1uDWzZnZ19OCAjlEMQ5fY3r
yc77LUZWkLdgpt1E8ha+B+CXW4vLsC/lV7zsgBBsQ3pfsRIDhBWosq98TyxVlGZgR42Bx0yEOK64
FrYz5Im+TOODqGRwNZqT9nVSZnG96M5y1RRkjESWnps4Y48ZRQUlo3oqDdGvNFwUl6x0hAYOh0KF
wE+wsOaopRKH2LXtWHVuUMY0afs/jev+Um/+lwT2E+L7vyXE/++kue99ds4z/743Hz7WxU968/zM
n715w3nlGRCQALl8AuT3M8gfNHea4a+IrKZoo27Ec2UnwP9Jc9f8V7Su4S3tIYl0KOnT/6s577+i
DYHhBWaMVJyUuP5fac6fHkMI9YA+h98o505ayJAwn5XLi8aXaNgTYHKtWNqZSIdSVuZBM7aXIi6f
m19B8KRipGzE1BO8AYL1aR0nyywTHKmtc8B3BZkeWhSA/xIj12l3nXx+bg2LjcaMXDA9m/CKs+V4
pGlXJd+9ous/jj4nTfvn5Rx3AuMUZ17wCBhvz13YoVn3UuS2dV6prIF3PC34sbn9oHEuqgJS4Ayz
eZhn9Onk4y7j68aYW3EmxyFrQq+dIavmztAjeCs200ncWrrv8TMugtBotPUaTbL5BTi9byMrLWWO
wNcZp2hrFnbSIMhUFODuFmu26lNW1H52Ql+2K6JXeKbUlNIc76oNp+yLdnXWNXZXkyxOp+62PaZ0
ym/RuBm3AybP543uqy2qA5WqgyZTB1Ida352sBWhdizuwaSSjo76G8G+ivsigh70YG3BUlpIdO5P
uYOLpLSqKV4yUHrkq9qF1SLJ50ZdHeX9MEzaoZ6MBSRbdvrtQPCyHu0KnDsSeoL3q7R6L2prf7Eo
Khep4mYc26OD0zJuBq7y1AETjJKNL2huuhGCabIJwlfILyqmpxmeaFRq7mAlo2fX/sHJN1He/T/2
zmS5bWRLw69S0Xs4MA9bAKRIyppsSx42CFmyMScS8/D0/UHlqjJplxnuu7mL7kV3RLtsEEAm8pzz
T4qSjAoC+bLut70xiSkkvTku/F5p9NscxxsLyWelk7dIe3lpWgKZ4pklclLwA4mtigqYyexOoLB1
33wHD4xwM2zTqcy9PVVTqEOA+ODUWRQoQkcJmintocWoa89STc80G6fd1Z9XpteAtGjQR59MGgcv
ysGdW3PfQiu/jXJnYarO4R4ZZf/Y5PNZycM6vftnPMAngFulb2cfEEvq2qcUuxyxlhIpBB+w5BYX
FnE7v6n7qvAucchQHgYy5oygH1xLbgs0UG/0qvQYF02FcRhqQ+n+7C5/6zz511Pi6Cz55anz33ue
MKX6xXkCYzrvi/4nZwp/7x+8lxODeeG3w4HT4duZomrgvaQCMT8F1AJE++dM0dFbYctJ9Av5L/TR
q8vjN+2UYr2C7M8qYIrBfBdzM+M/OVPodxCKQo30+BFARPy87/eOUw4RTFCjwmKjG26WfjZCqIj1
s50Xn797Nj/5kJ+gHvTlfMaRduB+ZfJAALmPL9VoKCwWt14ujFE071HuLNYGS3McW0RMlJ1slOLG
xIdPBj1etR/o9aohKKu8a4LISJpujezG1kOFyeZsxdLnrb/UERDWCGT4RKZqO+9oet0DRCDcI6LJ
niv+1VwJsXkcHhl20gn/+p60l3nG9xsSGiXmCqsfOxwUaOeUDN8/P9sRsm+XUr9w8iG5MYZGg+bT
Oh+o3WHj0YXARmENwYKaS+RRnEgxyntNS5aPRm/SRkLDmOKwAoTSsBIQfOyVqUdbnzQG1jg4cBpB
rE/RVZ62eRWUsbFafC8xCsqB/3zew8ia3wgXuTVeoOaIGeOAAwS+V0kNyddxqy/VENNTtG7jYg8T
TTkDCWvMERtYk/mx0rqs9PvYjDHoa9t0k9ZW/qaONEvZotnV8m2bOIhZMe3Rn3llrhkitOq+zoOe
PWRlPEINqHsFGLCyeeiOk5evGWY4xiaazSTya2vESkZ3lMENTOA5UJfITA7uApMOG/Xyue909w7a
aFnvYOh7cKL6ul8CQnSoLKKiSMaw00qShwcphiyoNJehb1OK/FbXsNnwEXtiyyHLUX+MFlK1/HTA
b+Y2SsBUfR33jYXshmq+YaSfPuUrWYaRy0yfPY/qlPpzES1PydB6H1Mpiy4EVdTuoKAVd9QOMYdn
mrlaMKs6BKaCcc5l1xB+t0VULe5nXUoJP9NtVMKESbHwI16AE2hw+oQ/KQ3hayO/MQlSI0HUTHOH
QzGaRMxjldmbyotUr3DnM/oG8a3KkU0URm3eVgMFj6+OxuQGiVEW1gXj0C5auT/aF14uGvAhGoZt
CXkQW4EsXsxHFv90gw1MpATCEdQTLgPcmw5p/aUzGDJ/3SsiNzN6urF4hoA43OIlXz32FQDnFvEm
zuVJvpg3DO/mi7rQrW6f1RmuYnj9N+MnCRtCfPZqqF9k/NpR/6aUxWyRY2YkX/UowotHGygI77BG
leXNbCyt6kuXTg9d/GQ+qHjW5s8FI2TT8KvWaMoHnFSd0k+BB+lHZUIRdFeXWmPvOninb5kGdWag
Fw7R1466CHPjRQXm/gSaRQ9WZXkPQ1PwfWgJjoTDJxO0zduys/l/sWf04aYv+wjHAye2RdCC9A07
zWoUPYxUlHlvU0Mb6CNJ88AfpiMNJvGjtBQHz8pnL2i7tLzxmOYMger28ZOwI4v9Mlho7ZWhiN+4
JJ7xQWlHb7tmBN32U/IX6+z/z9b/ceAOvrjT//vR+nYVCv/xti8eOSyPmra///K381XXXmHhBtSr
cVwyEKFi+qtnc16tqmDgGvLpkOFRnP3Vs/F3EI2SrbqSIzAIpS/7+3x1XhEQbuKKjVkh4AhMqP/k
fF2FhiCFa4HI/wbrPz4fEgSPqPMJGp8j5kcmmtWDyzQYLwlW568Pox+K0ZX2zikEsR9E1jxNJrDm
xgYGU+f9jH3v12miWSrBDD8Aj9aXaSyHu19fby0Nvj/6uDWYoGvyH3IPMKv193xXdjMXoy1WcEah
rh43qieU0DFJ5vn9qzBatRnrv4RwnRQoyRjZqaYqy37QS+VJRjmTWjPqz4ko10r95GZo1amAVgSb
bunkHMdmHr4w5IV9RDPhZxg+7/ti4ujipIENhst27I9pvHz59d2tNc/RZdcbQ/OBagEnVnRAJ89Q
VlIyhTX3paLB8nWSp27xbOzzpupMqfLD26KURF5CM03UzRqyfXwlchImqWqDup+EutyaS5ofckwv
zrAPfnI/kA/wLcOZEij31JM2x18vSWZF30cdxAnZ1uYephbjd8wzzvReP7khimpIHiZVNOLhkxvS
nEE4gFrGHuQ2DcTgYhm3uiH+7guiOieJUV89RVfl6/FjK+xhsKfetvegC2049O4j2u6rBUuxM7v3
x9vBullbUTquBQa+PtnvdhMoymJUTubs20T72lk03eYqbf/13egr/Ha83rgK94EdK0kafDePrxLF
o8SysHX2mU5q3ziTRFsao3WYrDLZCTInLw0sXS6ZTnRvp5r6BX+7eucwkd80ZmNvdYgvr/ENWW4b
hrTXqpsPl0kE8SFzm36TZK4T0meei+D8ybNBB7ySLmh8IOifPJuxU7R8Nc/bk55e7xKnf6P2Mjrz
bH68CG0Agu3VyRVj1VPWEPLeEhvXLtoLaSOVmabIV2q1v/j1G/jJVeD3stGZq61ps+uff/eaCeNM
SsuYoz3+aSIc4P8EcdvFZzb7n56zxy+ageNKgIJHDs/sVLip6q2sE5lG+6KbHC9UMoryXTtoyedM
Tt1DXE/mszCRVW5HZETmpsVf3CbBKoJj7lnNvMouag3TXLyFMdZBFxZkc9RRcOFw5QW5BTAZ5Pjz
dBtCvKXnY5Ee1WFFk9Jtk9pNE1QkZfmF8tl+IC+yxLRCMjbf22NE7htmpWJj4FnwycGexgzLlLMG
4LBw7U1pJP27Et/FzNfNvMB9R2Uux1R0/oIHARV0rOh4HZjdIq2t5RSD9JWe2SsDe1Ij9ho1deQD
sNblzhi7+HLJSGi6aPR0el8kdvkxB2GTodcayS4lTgCNT1k1H9WusTK/k6WXI4LRVpJRy+v3J1O2
z5nFhHMScQLqRu6A5ruFnXV3HCcJNAGTJtq3u0zBP3ru54u+0KdlZ2M+dujiyMxBV3P1xtBHgadh
X7ezH3lOF5OjqeCBhv8qdvNjU0KutId5usPO02o2OPRHX5aCqZbblAXekwAmNWpvVVwDRqAUUypM
eDb6LD0s6xJnDsxlbpq3reHWVZBi44RXFnbXnxYBxBmMuTntDJiaSbDKwpoNdoKNE0bGkuxUAwfV
0ONGpd/aSXIflXX71Y57KTn5vOxOMzQsHasq0+JAb7r4PlP6jk6chuQRwyoXENrMyiwsWqyics+x
rpRRpB/pz7zMz512CBoriu6VhQzkIK1aRe47PRq2mkZ/HHj1xD8m1JZyu1402QYVfiY3pb5ImtJ0
ZGHownS+gGtaYDUiWgMfrGQctgS0OemFrTcF6WCKodxKlGh3qTHY70y1rh7Vyhhu2q6MXsOtVx5l
O0dWkKvOdCNpwMXGS5XoyU3jzti6nmRiKHsVK9S4znoBzFUInChtsMaDpiRdQsSodB9HTBOj3TAt
K6yNmr2jRayXNkCShzkYzFP9TVLP+hhqdd59HskpwLUqz+mVKgbGOcRAul7f8nLN2GZrmHoA6Q0U
LmOcG7ZaLMfdrOTTsjUVkoe2LJHpwYipwsJ2jCHdxqqhvIMyUAsfWaG86Wfc9QN42N77oVWgtZtz
rjSICav+VpRu8jlphxKsvscGc6uMkWZ/GnXYckE78Mp8/ECdNz0eAcOhyF3IRjq5YkqIMM9+L9mJ
95LfSASmKifSlfssKeFTtlhXdjk+8MSYSwYPCNQ8YABdICWLW62j6zeyhKxMW3mOOr3tmZxH1hOq
pv7dGBM85GMLyOAGuCDy+I/T5sn2RN1tGJ73ClFuxbj4utrCsWjdBKZmpmtsj1HW6kVR9/gMVhAZ
N4s+2niYjXWGDxiRcO42rwbvq1sjhA+YXUyAyWqbvB+hf2Cd1aCPwofDu4MvURVhUmTuTTGoNfA9
SPxDa5Ogjvdh2s9hXxKAiV+nOZsBFRxum6VSmqCD4BOJP0yeNW4bhkKZPyhJQxJg1bsmeyxdGDYJ
9uc98T1DsYN9BfW6dtctCVkvuu4lSk1sGMq3cp7rZyw56ZBh3SE4jLLM/QIPPPqUy3x4ct2c8Ums
mIg1bVUbfZ5JdiUthRFKwZxExcCySAffmeZqPyDXqjDYk04eEOy88rcnMGXYqlna3Hp56lVBFY86
ASqu6o6+ge0Wzh0Iqsq9oo5Kc6tqPeYVFqVbFnY4RRb+LGhbXlsEvbxRBnN0rmaLLJAgwe9kDkqk
yteYt1v5RYnHJhVzJGreeJwtnq+nZa5ybaeXxOTK9MqNFngeZY+wBAy8ih9lP7thBHVWxWfMprSO
Fi8JR7QnHo66hrtraqzI/NGurbvWwvo//M1TGLsqeGCgXDo9yg866MZYID+iYt8vSuZcxYtTYg1p
jmeK4R/Oeq7irixvLP+Zr56aQjBusOFB984e/7bVqs4T4pPKW/stDRyYwOrFQlFP+cjLg/V0XFKk
DSslFaa7nxn5b/CUhJ8ELnGmpPjJzaB4ttbkLup7wsWOr5IJr7MJTyGAFOqjDzPV2/R01mfK7Z9d
RWfZwUikgaVjPr5KBXU97yWpEqOck2erXNwbNY/zMylpP78K7ZCOxI6m/KQKrrMEB2srd/fQS7or
h2OKvBY9OvP61+d+VIJRT65UNNQkq0LvdDRMGEDnVGnr7qFcwEVQa+0KrpCB6jk/p4g4sRV7WQMs
Y8akGK0BEXsnbYoNDUmJS9Oj+nm9xO3rBL9ZzGX8qJtznwHAQ+E8RXrJ6Rn7A47zPJdgMA30hNni
t/PbxGlDZX6AiaPOcPOwKFfqbQnJNlHeR3W2wxenDGtj+tQoz7/eiusvO3pKVMG6geIQfIRG67SN
MzAmtUXDuvJGDHFGiN3h4GCYbvT3bjHMZ8rvH97JGpwJHfLFCMOC63e8vgo5tKIXTbSP6voR8sm4
FYYDjmYl4syVflhjXIkmgrkUci8XbsLxleyYSYVeu9G6K9vVuu2LhUPy724X/mXgIXY+Hyv6iZOp
hWNXKcxFRdmT2zYx+Z8WX9ZD/X+4ysvSIhIZmPO0M+ozx62dYo4P6B6KzxmmSfSLhb759UL4yQND
FbkiuWxIbFjWCc13nVGWKHZftU5MslTBohXEmO6T1j4XNfyTFbC2wKw4/BTYmCeXieemb7HjSg6K
SMw7azGMPQ5u08HFVCn89R397FLQP9Y5CM0Y0rKTO+qKHnaRmxyKXh0DFVv1Ld7q2TXplfLMantx
7jjeRu6qK6RBxukFIszJckMonEaJJosD2XzmEPZU89hai1S0ZKaJ7rZVFff1rC+NGkLtr3I/7krT
vXLigTCAuu4eaToKvEYNUQxbN827emu1MASAqrK8gUzaGQpZ4LN0PkSOXbYBrqeNCE2nH51N5w7J
18iUVH78EY2HvQhoWfTtigEXzvNCYwQeO+NMty7uk1vmftnONLmrc8/JN0/TF6pAqWUH+KbFBXoa
5gO2BanOVaVzh18o3sztKNUN3u7lbSJb68wP+HHFogKBtY7VFD+Ag/H4/dpkEjQNirdD47bVQVRl
fmvBaTxz8P74gVzfK+c630Y+76d+VnlOTiPkhuLQF2p8XU2KUdGaDmqoaIVhE30X1b+9E9dP1qrp
NIGHubHj+zKFW2WJk5SHGGPgErvaAViQYvj3v17eCm+jH2V3GDhWHV+nyVK9M1JHHCDTmQcnp1Ca
kvqMqnOtGI5XibfuPdRJK2/COtXQNF7taJXZVweVXj3zsdVVHsouXv35++kh7/X+DrhI3C+m3p/L
0HlZAacXX8XZjJZJF+frdnyH8EFmsNxMHlzkM9cjmMfoq1gTe8jzcbjA13bsPkORp9yuWivG6W6c
yc3rmG8bASYS9Rb/pPitvrjaLkkmiOJCTLS/7hT3b2aDp/fbn3pvJdF4wBIAF1APjn+wo0Qtpg+N
t3dam35vKZTXo0vD+esP4082DocjkZIrMKPZp0t6qlIyWmwr2tdxrl010Yv/XFSeefOnV2GzoLA1
qS9sVbeZrx/fy+SifCzLsjp0ZaUEnT5Oga7O8Zlacn0i37/idUuufJz1oa0kj5NashxwLvHapToU
syY/knYB0xkb22EzWegb56IBPc5S++PvPUHcY0mAQqVFGwP04p58+/qii4RmqOLQqlkWWt2wsq5E
deYJnjis8oIow+EZglGsxQzMyONHmDsVj5YJw4Hveeb6eNzPj6L31vQM3cKaRo3kAEfWVZQ7ta7L
Psj6jBSjeca3p83M4gGBhAlYLoY35thEy5lP4+neXn8ejiRQNZkp0WmdHHqdy5fdjur2QB6Hl2/Y
/+PlMBLgAue7URemDqWNsVFd228TQXrBmc1yer5zeXclJKJ2BZ1CnH78dGL6FHNCSnwgTkIJkgSy
tGJQHOXGcs4S5PQQeLkUVdE602XBndatJEjNeNrb/aGwNEj/zD6JNZyn5H2FvKH3Wy/vt79eYT95
th62dLRhKxmWNXZ8c6WCq/0Sa8MhUc3KDSiPlomJTrLca0pcP+cZwUl+FJutx9ZaB1u/vvxPnu2a
AQvNjeoLo9F1c39XDaK3Q/PfOsMhcxXTI6CBWZDadYbc5nY2/3mQ/xbU/kuC2hGV7V8Jb/+NNDZm
AmsHwsHz72C7/yi6L+KIxfbPX/uLxma/gtzkra4/Jr3Gio/+RWOzXsEPwbBklcVCS+YD+BfMbmF1
Ap5KQQ9T8QUr/h5m5/MMyY1PC0x2etffQdlPY8UBOOh7LQBcEJzV20M/Xi7WzECnUpcMT9chUsO4
tOwrmZd6E3hI/q4iy+zwPOuWjJSZrDAvtTSxP8btYhq7MY5GEq9a8ZrTztgYwui3HTFhcpNrTQ/j
xG5rbO8JSD2Dn5+eHPzmPw8NhgNsM/dk1jGmyioGK/OdFYvSb6M5g1yURKEigVAkQuQDsefnDCFO
HJwA0nmB7CoODqjdP3oa0k3WJgGp2S5SBwKwFnPZAXSLi3JUiTIouy9m0qp3UzHgLpVoGpAbWMOk
xVpgTdP+u2V2++cpecTt5q18f3auv4VjDNbCWtnS/R+/NQBFivZxzncFLnIw3jrSGIpYg647wprz
koyQ3qjbAmDUZ658+j3lyqxLykJwIUoz6+TzkqmTZgD35TtkepLYrbbxY/qZgyQB60Idm/zDr+/0
x3e9MjV54tBKIPCfWhkr1QTsNg/lLlVVwH4G6b7UFuvN7Ir6IUXWgwt8bp5ZYKefcBx1IOYzIlhZ
phbZ8sePFzCjGZxMiJ2Fb5oMahNVIFhDtYOfme0BiMZbsc7Vc8+++PXt8hp/eLUvpcnLBoezfEpU
VtHctFliy51bufn9gAe8EnZESU6hxqomKlBRemPTYQPIYDiK77BbuKqdWn9GPDq8s6TeeBdqXn/Q
Vw3dpsydAjVcT3Kav1Ybjl9jUnLVi3L6mlnS/bzO1DChyZK29qtuwogvKgbyj237Cu1mdafUjVv7
ea2rW6+unQuo6JvUhaUeNbpdhIW1yH1SaMawU3ql8IIxG9Eh5qoVprkQ7UHOnno7w1AVRMFPSecP
GAb14ZLonMYjaJ7je4z89aCOSMPN1II0JgA7QM6kEFETjjKd76u2OGBkE6PHtATuH27ptEloRWVV
BZ09oIWTCSnbdpaKC8mGuSgxu8aSkYyOq3Kx+ziYbU3KwGi7CfLkaljXZK33wR2a+XPtiHqfIIry
gnRy6L5zJ4Pqmaem+KiX2fjYI30ur4lpQLuP+GD8lKuQxzk+QFGTzqzIM2pFjWceoYaHIq0TovYY
xZBh195pihtobdEgmCI+9spB01n6Y0UG+KZu0wTDSAdKXzC2ivUpSwrnYiLjpd4QhwZPVU1U/SNG
1/GTCVFW7BodNuS+yHTrHcMCQA5idRI8AVEKHkQOIThcBqOv+Q5G8sCwEivHZsnAmibPnfxkKIou
iKNahAKW6jbXopycsjLTxSbNCqaXxHfpUYh1Noq7HNCEbPCZInmeM5vAQj1q4CQSRXJlg3BmfsaQ
hmAaPvvvbBxlI99ky3zC5QNkHiDFk/AGDcifjPI7oGeQnDyoKl04gdHnQHbYtnbNJqV510Ing7N8
IR3Ee0ZhmYfSGshXxD65vIaeT+Sk0SAd/LMB+a3i5V9LkqPC5Zclzn9v8bKS8/69eLmomkp0j0X1
k/pl/Zt/0QSNV3itYGC9jvwYpnAgfKtfIBBSUOs6FDYLO7b173yrX+DnG9AnYIXxx9C01qr7Gwtf
fYVtI74F/A8eRFTHtEa/Ybv25xTnn6NwLZ+oYOiEV3EZh/Op5d/gFvnQ2qm+z0fWWZAxUntKSWnG
71qtDQI9TOMjsTfbwqlwV0FVI6MwVmbnMNZYdvhjIyfIBQPRYcHoDSVaU8prL5DEbb3uRZLLwIw7
5h8rdMlqV+fRl+D7UYBSyWx9Pl3Wxp5b8QGdrXhUu1K/lQOx9X5hj2q0T4tWqkFaCD0OhrxsP+hT
pmCxCg0kDu3JNN+Og1YjEfL6N2KOJUGGIkFhyvSzAvla2MoBrsnarQUKO13MSNf5kotiuneMOrsk
S4swqIQO8fVUS6/0B69riaXFamjLQCQlKs0w5VPfVS47cRZpvSM5q4oDrxnEo+Yx+0SH7BifJ2NS
PhcolbJAIGi4XTDwz/zR6fUsSOMGnkZeZPJGNLgw+7bsKmPDeAhutVWP3lU61BawVo2BFL3ucsfp
WkkfAW9phe4Mzr/xxg5O9NQS8Ydq3MBaaZxqQwatWFaHgcp26rBZvJ06VpnpWzEJp0EK4SqHUmiX
APyUWnuviZIuEGoqbifc1Z+92u2YTYxaNgdtz5DIh4mumX4Ng6bHqbeRWz7/2uRDbM7vFkZJzxUB
p32YIkvYdxjompyKFh9OU1vs6yYdxN1okMS05iQ4YjPPlvaQ00Beu6MkErWT8dwHyQRq4Sctcll/
jif7kFp2OwaxNtukH4xJOgRm28+XMV66205dUixYvD7aEyCKWsx1UlltM7wCRFhF5srzht7CKuiM
FkstUhbCjIAvB3pZW1YbnJhcoswI/Vb8MYHtA5GfdKhGkma8VUgh3+HnFgWOMpszijst4qUVHLcs
zE4j7bUe5AOBUaaOGSYR0SQ22PmWyDjzZshi7c5TmqbnYy/sJ6OzwizTjGYnBkajvh4LB4ny6qUf
elrqfBhGgnrDHB7YjuQMVd222pAmK1SffRZCIf6nK5e3USRspA7ksf7e1OBlpxOlgseOCmyPZu2k
VWnNes5gJPf7fMlwW5HEkScjHHbhIgL/7kv4k/r6uOp8uRRETPywoXuuMpW1QPyuia77WHVRJQ57
RMiYUcyLez1i5RBGbkQtUUbjZt39Z2q/47HbelH9RYq36l0tyuuTgVjSMqZwvEzf92WRbIjwlhsr
t8szfukvHmnHH0yge8KGGMATqY23yfG9YSxFVKJW6PuEbxB2zJGzs/G38CtnLK475k7hYC4EZBeW
sQXTIJgjH7O94ULYwXxvubABmM+MTE7GZS+3Dp2ATzgTZzx8TnFlYzK8Vdeh79XBiDZNAs1qIRWN
krPA3ENFO2+MYCTYDcyhmXbYQRhZHxBcOF8UikvMMwSOjYGk88wP+8krQczLGcVcnx/2Q5+Fvnx0
Wm/eKw1B0X1PbnGut+VvjWxe7n7t/2FPg9+tCq/jN5JCzi9yrVoQQ04inAf7q9XWOv2z9s3U5v9L
nv9BBkgFvo7d/73iCch9ax6LPy6Rs5eMbh6PRzd//wvfKh9E7RARUKcyZIBXvI4Z/hJIqK9WfJo/
JaiKTcSX6Fvlwx/AjqC4YXLDioYo83flo1BImcDAa+HDRGhFN36n8nmZDx0PAfgQ0sx4hD95QDQ/
oEBLLdK+QLsH75GGjC298H9womz090uUYFSZEFfrYUZVTcW+b2F7b6c5b+B86/m8bKwpcQ8olkWz
LV542dOMXgExeJkb8r6oounTgHDqa42VWeEPeE3YYYY00PTVrrYJJ234VsgemTc2IuPkBKaxWOKi
1XTOeOhyVf0G0x0SHvHJ7Bc/ZsCkBZi2QOPE/Z1kVCGMNAsNJRrKvS1TDY03VMr5MEa15cCajc18
k+fSoV2cOmMMJnzAF7izMbRbbYk9O/RA71uIAkKJifhTygaS/gzPa8J7A9ph74xxyKxEJRB5mLJ6
U2GQ9wYFfGVcIEC0m2BOE/2tO5D+ixP7JEdqFq3qN1Y8a+qFsPj0rKRe0MKkUkmSRUol3NtpQtDg
16pSv8aepOp9I9Ja2Gpl7t0UsHxrXCdrqo5SZdiM6Y650FN6cjuRo25hqGM0lyV5YyOWJ8p4geNi
YwVtjfYxb4bpPVYb8r3dp8n7tF9IClDwfHcDg/pAYkSZiGaDQl+vMBSoxHWm4BUaAkUSmUzmQdqH
9lI72cZUOvBVGuxWvgWSJACzaRcsM+jR49fkk7rXkw5hM0WvlvsMe9SD0UKtDArLSp5krStXixaV
Oz7YLi0ZUnTVt3EJuiVD08HuCAqju5XmSCgchtoYw6i8i9kdTKyKkqndFLOX9X4FkXcIFZbDdGHH
pcT0R2/tEUGiubwexwU5Hn67Gc5ztsXdYmcCUh6nvOlywcsucNMMfvRUZBXh7N40LQg6Nejrmuh6
C3O9gXIO20LuVq+KN5KqoLqAPx1j6tTBmA6qjlm8LxF1xD7Ra2oZdJlYPk3N0k+B07fReKM5ePWz
H7J5jSNdjMcmi7Mbnej026ZOm88DLgL6VuniaR85M9ygUs+zG6+YpM4TNRc4F231xhsLwqVt6QKE
zstYfsaS1Ab7b0jiJJgC/lpoJKl1xxTEuWm0qr5bbYXfR2OrI9S1p/FKOmohL3umr2XAZK986lRt
duA/69rneYjGOBg1YKqtAkt82vRDOdxLFIif23rSd7HWUBBVwrVZaBwkt6wSFOt5CffNF0pidlsG
WtWlLWCibeJUztdKW6XPVeOtnbmc6ufUxkkumHQ7Kf26bMp7SVs04WokzSLEyEKrL9Aq1rd9y8kU
wDR07NAa1HYH0F30+7SBCO3PKdnEpbXOQ1ul9x702J2nHRBbbmPiJZJ3TiP0L+Nixh8i5KJrNocc
qqDOqPPDppQRaVq2vswbtyXoMTCaCHsbJVFaImRN6b3mM9gMF0L18nxbY1hZ39qTpfebrtSc950B
7TLIxhmjVFHMRPxWWoryJLXUsQjieRjeqKmHIXeRezGPpexVgVNeL2DMrBm7/pT0I3UdebJJWFnw
pCG+OvivVRSCMmgGl4Xi4uWIoVRtxBXONMT/wueLtXddLQbDn5xcVX3WyvyB0OCkDXWzz/Y2TR0E
/ZxcVb+KW8zq8AGOA9nYZCVbRZF+sdqRRnSpsKOlpEnQ1iqJihyMTWQcDOys0muy2ohRsKGUXur2
RN5YL1cFCt8dnMrUwSKSpl80N1TsskjfIkVtFjjCua1BX55JxBEuIdEbFhkJ6qAeys3Y6MVyvZhu
+a6VqOah5jb92yYx1Wfo+DoTHOLgcMKNF5JJ0qW6x7hKKVZXrFYcCiNe1C3kaCsPmtHTmGJJgwKs
7iT+dKMomo8zzkB4URm9fa3NwPwXAPar9AXS7U4B+/i40E4XTBPb5RO8ftV7Hbd1EeRzbnsBbj9w
2Y1E6Uh9p63CBUhRqluFR90gNBjmrw1RuLo/2yak4rh0p2SLfMJipQ5Z9zrPMQ4hqje/HoBB70lj
N7UNIAvgK7NObKxmOXQ1KcPEFQeuPepWCJtgnDczD4lBb58xZh2GNH5g/KtW20Wt1H6bdXGzPiaF
bWHLjI07qMsasJ6bVeZHYnWOGM0+/WzWKlnRjCjZETX6Y+7dSZrHrMm6ARe4LGv9OY85CGaSUhS/
rLr+aiC6GQK62qh7jLNb5QYHjnSrpzTkEIExHuPdGXGEBNpsn9wF0QBabP5jPkNu5XtuwdPAfBmz
s8Xsho+oiKe9EiNRD5Rc1ZMNPP8Rcuvcewg85s54jyS3gS8eNdINUcYvSWjKvicrQZj9rhs5bv0E
hgdJysswXGMWUE6c+iXfk6Xu6sm37NG9w2ZZrYkKSRkSDh3C8zCLNGcKyyRbLnFgHb9MDDlrXykt
J3od1YOJve9CxAzbnBN4nk2ybooFW7aqW26JuOc30nfDX3asPFMDUo9b5SIdUKpjSpB048VYivbz
qC6bHAfCiVdv4/2kxlr6dinZ6D4vIDeCmvGzRXSLNX6RPVJ79N9O3gRuVRQWSGxVZ5u6WdyX+Uvv
q/akt2GSFhiwSaXKNjmk63d1U5S8KHfEKNemdJF4sQyT81r0A9OhhTxAJczMSjC7BUOz9ii/OeuQ
6XvWdeO54rqnrGlghNJSj36qx+0zobPjsB9GId3A6kShYa3W9PYVZpl2HXaYKN3H6ULWrql2/biR
mpJVG8WRXXtIPfjv2FOv55mWo1y5BFT0+IrVY5nuimJQSMoWWAgSsg5isRG10iBUiAtL2XxXMf+k
Mz7Ff3Ar1tdxG9gjBKQftLKpGLCt0xdjJ0aWTdBUWnvbzU3eBxDu2xvThaf7csXf6ll+OYA9GtX+
60D3v3FMu0J39PrfvYE1xvooYfqt/PKU0rM8PcqUYe0fb77EaSX+qL7+cXjMH5vu8Wh6+/c/+K2F
Ue1XK/kNauiLwnsNmf4LfLZfoWWELIrAhDSuVZ75D/iMOFSn5oOTA8qI3+s/PYz9CnY/808CrcGM
GZD8Vg9zuphewESugK4SRSW413HjG890NbHSFdhflhvwZivUxz7ZJ2Xi3LvCOzP54GaP+yVY9aDq
OH0xQGIJn8yPaH8oqaD+7Oy5j2/ShqTJCZDpE7qOc7rLc5c6GeW0Wa9mM37bOxRWToj2xA4wQotC
ApTtM6OqFxLxP/MccGnCKiAarXeE0doPSZMjQ7iuzTsAQ70ddhSe2NPPlVQ5sVzjre2M2rPSmdOj
GiHcaopGXHe4oFxVY9JdlWqkP9WWUaxCI5C3Eg9lRBfEXwWQy5rNIFxt9Twc0jT0CiVnw/eFeZ/Q
ZQV93UyOb8yzszMcWWzI/bAfUq0D6ftf9s6jOW4kytZ/5cXs0QFvtkChDIveSxsEKYrwQMIlzK9/
H9jd0yKllp4mZjEvYnYd6mChDJCZ995zvlOvQz8dm8quJygt2iWwV0l2deYjuiBja6GWYDXDmBH5
Oqtthx8szr5885j8YKH67if48LV8GJFXiyCiTRP1fnKABMaKWzwXNRGqQ0qT8r95hfofuPY4GFG4
Wb75Tr9bek6eyuf02+XlP//m79UFth/6KnSIDF5oQ/D4/r26MBoy+HdaZ8QZoFL5Z3VZWycISxGc
oGJEZgiD4p/lRf8D9zvTJmTBK+MZJeXvtEj0D3kXkJNsdk2kCvhVVm239+E5jCXjyIXdeEeMQvNs
L7P9RPO+cUMJOeGcwamsiIGdFaonnbwKfyihXAcz+Ntmk0ymNlHPRpB9E8Me7G2/TJxQ8GQhiRmH
3Lz1qMlGupLypG703D50fSMvWsUFmIkrnTqi8yr9MXanvD5Jdb0jNRvEhOYniNFJSxCT8bRkk5Hh
gZxLSh2S2aQ/Gql+3pqdjmFwGKgr5ET6FNUWVM1NnBI7F0Rqm8HysRSGAoDK5ANvYbrhYNPekxzI
OMPSS/PUtlJMq2SDRxdrSqvjq3RdiGZQtboM9FgRz/HYta+mzimXM5tJmRILU0ysinkjNwz1SdlJ
1crTNrnl9S8k1eTnbTVQW4xS9IJRbWWe9O44iM1ct26xj1174lwc1/gBXak74mBkOf0E7CJwZDm7
zb6GmL+/6grUIgyJYo0Rlz0pC1TreDQ3DR5KJyCHeI1UHkZlxNFqJu4ZiCRSe9W4N8/bJbfGzTiX
i7hJlpFq1Mys1Nw2iV5MW1o+rgpQNpvqQFELWHsItrsLFjMNpUgEZxZ2b8zJXKR5NJ9nk9XO277x
evyA7UCHAuLPQtUkC+JbplzU3dVAYCqftUZsEZgyhnYe5zqti56DX+/3dFdoTEe1624HIMAc6BU8
m6H5hrvu39DXk2qCZ6rfkNh1sYzunVcki3Ki8tLJzqiRllC5QdNWV672yO7XkLrReXd6ZtLMcKdm
QWsSKada5jW36IJa7MZx5GbM1lfsaU8/YJu9wVChZtOnx3RaH8o2rsGlvqFTYRz1nIVXoKr5BlcF
U1DowbwyV8eVvipXDmusKO5ZPifDJ/GGaWU8mCJ0WeGtg2qUV+R6E6otVrqrFDklc4z989UQva1s
atsrbpRSNhSJaC2AFiPLgnpot/o5hdZASyRS1fOxhKi3Iyaxsv3czNPZT0kveFIFXRGfIemyF3CT
qUPqIrnPk94RodkiQeCUM/HbpBE4I9eW2aZO62XaYINdugMIBo/AaGNogGE7gpneMvNyHoXTS5Y3
8d0yKMyJwBdR1GeLs6aREKn3WihKtIn0ebqOdL14iHSz/dp2AE79Kp/ULnCaflLJEygGbx+Xo6F/
6sif6TeuN7QXSkOVbLvJAD05d4fbpe8pMHuaMj04JQhRGpSpS9DCxUv/J0FKZmmdn06RUx878rIu
yjfcVIKcDfTUSqHS3oBUxRucammE3OZvyCqPJuzX7g1k5XVjae0W+m4u4I4VdvXNAv+DTfPjgQzR
KB4vDobQe1A/vZ01vpl70VoVYqS5tVvMOd2ZmT4HbUOLBv0JgTSLIe5/fr3385V1fX5/vQ9ztnKZ
E28Wo9jhdVcPiyGpsB39Vya/j0eB9SpYvBjjYLHllvxwFBhcQpxpDIld1TReuiEZkISVvlYBQGeZ
8+cU77fKlX8tQt6VKj8tav6HHhneRmD/PmF5+Nr1FCbyXVWyHhve/u7vYwNwX/p4Hur7t8kKM5u/
jw1rebGGA9NxXkcu/FD/FCUwIdjKVWoGlxnLKsz9S1KiOH+s1eg6dSGOw2NA/Fuw4I/PwCrvNMl7
oBeG4tD8CPDN2QIB+MY97Na4C0wF/n7qjfetkXY7E81F+PNH4OPNyXwRJyLeQGgPcGW89RH55pFj
7tFOo6dzOQUQbwIeYW9izydN5P/BVbPOdt/VCsyquBxuC7g/JGOs//+bi0kUNGxSNosla6Me5tVI
+7OdE3nPFNR4mWDBUQTEa+aARZ/N9uOh6a4mpy2mAFFBUuyQXGCDN3VWO/o6dWZvXK3XnMBSoiQ6
raMChTuZCCr/oJW679jW8GUxm0YLBoe4I3+aFbr5XskxfOO2NWg7JUXukkcSj45wKhqUZTz3r6Yy
APijDs1pkzRx1gK864mNjmPlUbie8oUpfHulIUmMNqAA4zdWhLo1oDdkIbmm2bRTyEFyfT2yvCcb
t5nDeq6jb5xiPhRJ5G15pedd/wUYsA2+wIqsW8TGMt8PjkWTV9GtCUHEpBXlLhH1AgpGLsSwDk2h
eFv6zovYF9kY4U7V+oc286zS1zroZMHUqmpGy7WMvzLN1wnAKKvkc5qKNj6rEiXrT9bBiIs/QHNk
0HtGdGdUEXEFY1fkalDlYjgvbSW67zybXLsac2eDbHKw1NDSs/4r03KcTGPdG+bGsnImfLTWxn7b
kY/T3y4CMc3B07oai9tIUu81uObp6wh8cI0FGodqq7C5MtcyI+OUiVRXcdSqG8NnrEIzMV5K9C+Z
0zg3aZuZQG3yKEv3E7MYMP4uEBN/ccT0ZK2FJbAH44YkWVQsnZLL/bjWccZbSdcOMeUdp2Q6pZnW
NnemEo2aH9OqosPbCl3uy1U8Wlaz7m601nW+xO2qNa2G3LpXVhFqMiQpGM03hWpFKs0zuOnxVawC
Vpejr8P7XnWt8G2gQJi5ZTehmhvS2M+rFLaFfUhvf9FGbkPg0UaIr5zObmK0ybSpXDpn4ZLVSbrJ
FJe7CH0x3VZyDUg0IDLWOcN0awKw5uh0xdEyrsIKEuhnYWQpA8+FVCPchKYLN3kWZrrJq5zoncGw
eKJQcw63pNW4Spi3Nje2ByyjgVKTEle8dqqtpyozyjEsicS1XlWVoMQ7utZV/VX3lPErxat1bVtZ
8xVvXJocMrLn9UMVDSnqk1GdLxtnaesjiIhyZp44Os+LMRIj2dlqDy5lQeb1ULdN1l/mpp3kV28r
1v/ucP/x507FhvDvO9zfGoIfb3L86V+bnKb9QX2rs76RLAuQ+JtNzkVQuSKvAQ6iKnDYEP7Z5BC7
oo6kPa0bNlmPbAZ/b3LuHzr/y0aDycviJbd+qzT+ftdZedgrTpZXYwv6IDkB9O5pvZIu+yRKI0bq
dXkkoi09dRJINt98Pz84U353KXqJ1JSrTRUaHFLR93sOWASEZkSE7Yd8dsJxGuxb5qXpST0X/dff
vhQ4BOy3xuobp6H4/lJeQ8tnWLhU7y0z9GBm10MBR6bOxPj7n4oLcSDBv+ySf7qeIr7ZSZWplkPS
9NpeMyPGexrEt1SU8GWt1Nv+/FN979EBpIebi9sCkMgKL39/LU2bkL7rhb43m0Q56vDh7+JG7W9m
pcwOsszkxquraLugOt31zO2PXjvMn+BCOQIVX5zdz1a0bNjFq2MS84WEDqyeV3Kk1KPuaM3+52/3
45meiC7OMriKHNg5q0f5/bsllp5gpIR3G8d2tMV0gIwV6Nd/4SocltZgOZKBkdy8vwp7sID2begM
kGYJPqweNmrutn8udRzD46/1D+5dbB+8zvsTE35ebMhUEIjmnI9N4yrqhk42WXqwzMwA6gtiOUVK
KVt3P82DmQRDLyjHI8Snla+hVWHI6OjR3lW65d6047syUe1Hw20bYlxMJR4CRgLVtavn4qFQSgN2
WZRBpXfa7okiiIhMvACx74F/1sNlcucMxSiNAt+i73ThQhz62mgetqe28pbFb5wJagCQZYJQLTGa
xMZ4GkU6AzvdCNU4g8PUWKQpFJMB3cDklZgSq8hmSAeyFyauudJfDk3tShhGC20fS2vZ9GM5qulF
YRtdu8EcoCPAYOzX+uCIIWApYzylFN9mvUc2MGtPuk6Ll3NBbX0a00b/bCVeuFjO9OwsS3ehKOn4
1M3mNG1Sp61vBEJW5ra5BqA5MRH2+54GGxpFDVZYv+oQL/Cp7W7d4e3IufVqyBlB3jbufExoR35e
xmhRA68mDIkBsZDlJhuK+nM0uR2NEr2fSZvJvOi6KmdhhU7JVrzLYscKvRwrSqDRbnAuavx/j2Yf
TXcg14TJ+dRtnRAOdfwaL8OIwlQr2jHQU7t7SKecjJ1EG6NjhCbgmeZy72y9tkAu5fRpcsPiZ5yj
pYS/UQzpeFAqsr85DvUjLjU5kzvkjOiQjmM+JnJrW0p83rXLBP6af3jss7ykH1glGsnBA4fqS6Gp
E9KROYe6XdvgynO/diMrO+enyJ0NXXN1j++fDpu0WUhDp+gXJ1Sx4CFUUaG5+YVeK7dWPyil7wE6
soO4bKFIdVkUnS8NzCafqC/X2WaxPZN6kaBy8pn5J3WYTd6skaBV91kYcyLdxkqrGHQP17P2tB67
6/UAbk7uoz1Vkb7tzT5lTm1GmRaYepSh7FqP8B7Gbtt3e3eSTKvXUz4/fv6CrgQW2vhWB/RvNYHh
5q0W4KUevphvVUP2VkHUqi5eODVSV3TLrDoBfh/qDeOt9iCoNB/9vpjKh1oZmwc6eTbHTVxCUb6m
SED8yrXudBprWrxW7ohXlipjCso5MabHsbU6+8RFlPDYyVF5qZeC/isPsbVOL8qFB7ArPNLZcqG1
eFCm3PpUCmXG0zKUxmlDzpu9GygUTm34g8ze+0R/UAgws33m6ghEMwMMQDCIMb32WnTf9OH6DDZj
4bkbQkCT4hwlBeUQMD0NJdGYRK91suAcmmypCea62VIf0JNbDSG6Np80RdRLlBOAvD6w+7K5Nad6
vEmwijmYnzo13pisgVcQk5YMoVzOCpGXhjFspF2OEZaqJQV0GMfI9HVCbY+1mSE+iEvZUqo4vfJo
RFZz1bY4sjZv+8H/Hhf/A3AMRwCYSIASIKnob0b2fz867skNKZ6ql/9z+SSGp28HKz98ob8Okqb6
B40NegNYEUGGrjPSv7olBn0P+KUmGwYqUGSo/xwkDZzFpHp57oo2YvKxKlT/Pkhaf9BfoQmAvxEX
69vf/Y4BB3jC+y0SKSsvw62IMXTlUH204851nzpJwxO3WN1CqxgJ106qBXsWDJ/GnwdLRybWzsfK
aj+xw16hrLiG/7iBLrFVlVq7qNz4VEMSti/dUj8ojUlyn8qybN0AlL/GvP7Ii94KIWm2zvqFV7cv
YKIqP2mceBcbSD4S40tbufwtU9atGOOXMZMoKPLdFJnoIOTXLrti3TgDCuhtokT/TDv6rqAPkCfy
qXdkc6Wm8TZi+EGr5lEkdncmVPseHmvNMj9EYZ61U0BVWlbjl1E6DyWKTxLJqMzJ7NyLiR4mHBsM
CWZ8tGGHbZuxvhb510rMDBu6ZMEHEweWdDfoiPZddFZpjJ/d+STuhtgn3fQs706WYpxQ8xDAozX9
0eEnvo77GUZluU3kzFl22ncU+vB7uq0r8IWoYphoVtOr5g46y6bkBNeOQQltiY1Ru9vGyB7KUtk1
Q/QJrzRiF11eL5G0/U48S2c8SbIrgbvxzEUCFHhK/DyOzSfSnEjJaoarIs3IchKRDCa7iZif5PWm
SBGA6tF4q8kpIuOvyvZwbTl9dOzZqTodqOLNcGJPJrD6bupj9XTpOyY46glWUhlW7EP72BzDdmk2
VVJ+GkzUjV7jnfR5dJ8I3dkOA4MVubQXiYBv2VtmqBrWoyCOEHlo80lW9mVX97u81s8gVJhbbdbM
G+61J0sy4ACj+VRo1UmsqIzmZve41MxIGBhtMOjsDI9+FoLcwaqe8XkmgTE7znXNkAxDF7eLrqR6
SBJedMzRN945MYI0n/wsUfr6oveXtjbUZ1WaqDdElD/hY5JH7pj2UNljjqYWT5S/5kMAS5V9HRAp
XmaBkraoASc52udKqkj4kVU50kKywUj1njtQwjddaHJtVFdZo3yedMydTqn2ryWc1j36Pi7fGNoc
QO0dXqbGLa4LyTgQ4xebCJrZ6FBHkXUwk1J2gV5L+wwJrH5Wdg7a1wV//41ee9x05PUdXFTXF8kE
zNQ3R4Cfi12i7prpTG0m064uFdtYvqZFWj8p8yKv6PozbxvrblWOlhd9EXGO1FDv+Zi0EDwbTnLG
G7Rw4xctyigdpZJiAg424NJdk5kLZFRaRXYaGSnZlzWPyRl0/+IA2bRDKTmYWyo691Nbk8jFQXpU
j7IsvScPjA+nHpnRP8lJED/MRCvuOXGNG3zQpGkTeMyZG6swY8Vczl7u51NWni3SXm5SpdBOGBE1
1xW5FwfN0pCbjvyimybPyo3q1ChOe3qCaWK2QZvOV0ZWtQdCTKdXxYTvG9cmhjQtPzqTfdVTVfkd
BKStXAb1GlXaC6GHbdg7k9gvSv1ChEkR2t0SX/KNfY6UIj+2movNr5QXJJQyaUoIj0nT/mgWdnlZ
DeP9ZMa0PUVkH8ZJmXZkn/ZXYlCSa7qZesAtBc13MmYfElgdQkCWe7y32k4tizrAlKecYXErwwlz
CgNXXDHzwEOXx6EriEBkDNqfuisNDjfbps/H89zQTvNJux96RJVNn6d8EVV5LEwzQ7lNomxUfSp7
dV8tCkJZq7IQdrs4DY0I1fngvIpBcwjJJAezmg0rjLoFlZ7NG+jbTZEXZSgY750gKdpj2Gd5wWAQ
QBG4TUbjEmBUvZdKfMw6PToIxa72Mi3OmhK9sqB59hBlJSqTQQUvXEVnQ+Qc3FK7Xug8ntSSA6ii
GSx4Zm0wOHNPNZ1qIFF440azTmO5vS/0xJ03ejogF4yczzGNxTLQMvd1XoqXGdjYaW0UF0obP0lq
nyQgy87ZLNRMNdyzIMEm8GVUqgPTxHhnKLIMGUFsQGPMoRzlmSHtwFXaajt7NhEtmKGdeVhCotle
6tIJi1QctU40B/Cv8bU5qfERqThaG6kQBC9sEo76Yx2LfmOp0x2K2gt71QLneLLjGpF+Q3jRjc5d
XqRVKKRzKo25o2qhq141IJPjPjrBnY6jVFrDvdKJeL+wI+/sSjE3TM+X1WqK48JBFVoNUznDTUrQ
lUdgLNskvmnwoN7HMTk1NjjwQmJV7D1kj1cjE0wm+5uZ2Hih303dl6Q61AI6DRSidFk3Rz29IOAb
5m56najevpxRLWbVnN1bVXsbGfnDLN2KCCOa347ShjhVyAoeyd3pIYXIF7VFQ8k/aiEiIyjRGvoG
dF7d4KdFfREpjQcbyWQnV9z7lY6rVdGmFewCA6dxKz5VUvlaYaPdm56W3Rei1bdz6m0oIMI4kS9K
XpGY05w4Xe1TKAYIJneaqu5INSbMjZRRFJ00yQfjCdPYNtLcu0U5Bwp+iYpqPMRdfuMp3gYQkjhU
E8hywsuDwTLEmVKrCIcK7p+M5Gq23shS1KNJCrQou3w/joNKjbMYpNwovgI2aRLOTZ6AnZ6ir1j/
N+4wlyFgxHxTNqTjzP3ibvI5Jg63OMwNInslNpVHN+7KDSnHR0rubCUxK2TX5vfCruObQbptYC/3
pRRWgGb9ef08YVWb6PrLT3ad2HhVYrZIZTiWahLi3W8CmbgocauN1V8PNowzKRZszUV12lgtM91l
YA0ETp9k5cmc6vaOz9CcDm41+IhJ0l0rWYs7m607c85x8Hy1e+ezNyHbJW/4nmECOBeyPZgYXcZY
YGE9s7lNJaFiqnPZRuqZLJubWih3iDOY5JZGdKXaVX43q6hCCf+diDG3LiwH2UddszxmaamGUg5F
iJX8AWOVEnTCQPoxrxMPoRcQCKfPUW/dGOlyPupt6w+jvTXGRT2JCX1H0tuifh1vLFIWsWa6h2Uy
vxBEFZDJXIbYFlL6A/an3qJ2yhb10WqBJkhV97VE2AGxyvz6Zb5szCqqX9PK6C6tatI+147Vbyjn
UtDQeKF8t9HDZqIyspH57KdKu9TNpd+ltZVcdfUybGsvWS4t5P9b4Um/FkZQWQORzyWK/gR9WyPn
+JmCvKU2TdFq5P1DUaIiEimYB0dLt10ftUHT5hk/V+Y2Afe7uJnnUduPWhUC+AxFJ4iMhq9+GKw2
3UTVNIfV0oobqHNm2Jjp68Ap8nyII365/MIym11dqRbWrDjbWu0Xo2s0XzXiY97mp1UWcdg1P+Fs
t44TZw6VR88eAjNVu/spsvlsKZbguSnNFiq1Ep2N+CxfBuzWlW/VfbkrlkpkYWvM1g7B0r2itrZA
FlRB2h8GA6yFal0PJKr5DY/RFUYKIxBi1valHLelZV6C7dguc9wfZw1zGSYSFlf9dhKJFfZxYwSc
07LjLMpL3B8QLubTYgS/0sc7QWftQLTmdqqA81fFHYTNC6Ppr/KB94pr91DG5QNOvAdM+af9XBBY
TTJXb89B7OKDUu3ldEm8Q1vTg7JRTObULKOm0DHRuo2mNYGovGutFrGP0iYJlgYEZq95BylN148d
mW3pgV1qfZW8xHppo5zqEEtZwuRWcnlU2+XEiJPpKk/Ju+8ctE2pBUzUmRLrxiE4a5Oj7aDNBmV8
8GbTHzQCuB3tqzUDzdcnG5l3Xd13ePRwumsb6DZ+onDTGIaVBUWxPOqpdzFKYsIsacpdmkBJhAee
bVSPIPHIULTdgiR0WwrOolMyHW0ieC7p+HlhW2YDzmXnOZa5tUmIcdtiHLsR7GjCVvfzMJ428ee5
tzETugeevwssXvaF6ZAcF5mcFLvPHlqfciprZEua9ayIK92omn2uL2c28pdyDYLuwZhOrvCxF11w
t9MXrMcH0cnLRHdepGU/N568ifPumOb5QUm6K4LODlOu4DTs+5GvJ6J3QQWz8zQKvoXObNgUkXGd
zO1Ak9LZMge+1PWIKXLxWaAoDZZW7/bt6JCKlvD4JSipXF3xOeciBdKzK9vutGNUDaV7phLoQYzg
bPNSHSeorSopN3FJaLjgvX7yzdY4xe2LQUzmyx5D7gv+9uQmyW2dU0/xpGT6feYur46H9ab0Sueq
Lci2hVUDEjlvd26X4xnqqHRIgf1SKkuI6flCKu6ObHCc83J4iMv4uXCU12FqSpwAcjlUmXmFh7Lw
+4U+qi3Mc3rUn0Zmz76S1um+q7yTaR0Du6tCUNcyOsge/+U2BcmzjTtuLLd6zrLUPXLyqjfeIr1Q
OoT6lTjztwYYCVpQDgnns1DcrdXMeQBOQoYJA4ETcJb1vaiKcwiXYVvhDLWHa73unrLZDfqmvNWq
cgmXOn8aTH3LOPkkNV7zIb9uR/fToM/GiafkZ16p6JhnnPtMI9vDG3QyAROP1AylM9SbCFKd9pDF
nEkM/qR7NYvcviboUB4YkrsT+PXRZXJKSh9y4LyBkdFGlBIv9thIv4GCFDhpc9bExd5o3lARW7tj
9D9qW+QLm7ln5akXlwocfcOmWlbMK/B4xIGywEaPPyozCKXznIq+Z6r5BdUz2Z76K5EBM5ERYzhU
SpAamDk95TSXX+m38UZssxH+MlvExDtEUDTy86iYZ7mYXnqBjo1mJ/0N9Qs4jMRvXZXqyL1ylzrs
Bc5Ip9qti0xE49md21fCFE/i0bqi87Z38CR9rgZgYu5EBYGNqVeS1RH0OEm1CeLJvK6UMrrPWtX0
RyyJ6QgLotKv+7URUHqFiytzcU7sbs9jTMSzOvE+x8n1J6Pbj5QrS29eAj/hfBSPZKiN2yYeDH/E
8lTVyEIHT6tO3arKSYduP7tyuIiEW10A9JIAKfpTKA9ItuV8iEVxa+gTrrfE2Eb1eEfNAqanbZGg
RWq565u7VkJJmWxEALhDuisMV49NQT04xNMGlyUDh7oSQbXAJDHMatjQ3mUHhprsCzGo28WkGY3U
MAuxmyIkKKUCVt3ZDUm+02vSGzv9czOsRZvLOexTTT4WQy/htyRzbAed5E5YGiSg6DTqK7a+cbEu
ZTNpQWQP7THTyzysvLF9ILIgbPSdpvO7ptXz73c5//8UdDEk/feeZfj0r4Iu/u7vWbdNSxHNtmkh
3kKBRSPyrxalppIXuGI+ebBWMTZ/88+sG4nXOjk1USO5+joW/rtD6f6BSNcAOMTceAULMSL/jQ7l
Oon9doLH7O5tzm2iUmceqX8QWHG6ZJgyLPlhSRr9VueEeJ92unh28TLfEGia/mJc+3H+yfWIW2eu
v7qkMNKs7+ebybCImtaIMLUcGOQZgS0c90ZUVUVD+D9/hh9MJjW+1I8fCwYwqVs2Uxqgth8+ls2J
lfmRUhwIRzfD0WG38UdVaw8RmEaeAckqbcUKWEZdnpICbNwWVluFRVHUl7/7VpDjkYzmrBI23s9H
XPsC9bKYm0XZ541B8k/sLkkatCiQFN+sPbg0s9tEVGyWxahcISBZDeYGm5OvS5LaVss9YT4/f0+r
cPTdj857QRKIjQC3D1KHD8JSzewTVJ95e8h58skONqCvJpYBNkClem6kfdnaRhtYrRv9Oe7415Hx
dz8/V0aVg7N0vTLD8Pc/f2s0eLLLvDsM9LF3GaO4cNBTy//55/vupl6/a5xTMEnoomCYeX+VadJE
ryxDx8Kf3pBHRN5UKR5hRn21rS76xax9lU28/zId6BJMDYCTrBrLD7N2LTXNLlVtechaVHvpEs/b
HAAh1nLtVzGI69DiB9dCKAINh4/2ltfxzdMTp3oVmWZCda60Al67EhtkDTN7O8rZSA2aJUSWbQT6
URmMKoyYIKtzOD2pp7F1LIu7bBaApqcDdexjIV0iJPKu7c5cr8JBnagJxVWDdi9D6LbUbaB01thf
q7md58wLGOzjtx2wLhvZ1NOkqaknofiiKQfVQJNqhNUf+yne74eZgwlMisyJf/FovyliPn7fsEPI
tsQFs5LU3v+4Y6xno9YIceiKjLZ81Hpqu7W9OjUCuWAk981undcT+TVFlyLOmatXfF0Xqj42N40y
0gXMzE7d1ao0rwi8Ss8RQNf3lSySDGVBUt2JRStOEKWNX51MYoRNIz5RMMH1eMCAB+O9Tb3SvtUa
9LHBFJeae2z6Vrf2DgVI/6wPHN/xtHfJhM+WYfZ4iv+Qw0CTyRIPKidpgOsukMKzgSclCW07mY+Y
V7NnizsJ13zCyo/QEyIkpwFoqX5bIolkjNPAlwRbsJino8jK4ipO+/RFN7vpKR7hKfgjqUn6feni
ub2ScSEef/5c/ehWt1Ejcb+rCM3dDwLZThKjbrZmfphMan51Lh7KJrN8RyAQ+P0rwYe2mOCtG8VH
lHtGWA99jKE4cEzHNzBSymEr4Zgl4yX8+aW+X5JWo+aKT0XxZUD+fn8/NZ3nxTW524dat8yzpJ7K
TaE7xW8vfGzxBJhqKipivKEfliRyEjv2uqo+DJNabHp4kXtdlNru55/lBz8QFnBUXlSzKJg/DhtJ
E5O9lQzNobGS4rElywLvOdiAnaXjGfnFb/SDL85dKVkm7RYU4R+xVHLRKmPWkuawNO7jFBn2gd7R
r7yiH8an7BZMj9k2SdTSXIR9H763QQIBr4y4PeiuNdLZTZH1wMd0wHYXZnKm0f88DPAJz4rOoJ80
Is7+VZ6EtirI3q84nCFMqMrrjBkcw7oqf7PqCsIWB1OwXSbwL26F0ixhBPU08ZdECCaTi5WycKjN
zind6hBLV15CHkZs8/Mf9wdfxbp1eiiH2GdoC79/G8bYkJPu6h1dgWWUMForrdsjr2mB+Ql9RB3R
G/QO7bgbzwi/JAoNpLmQv7iRv7/F+Engo5EJ5mI40D7s4Doksqbviv4gKiEu3UKV10XtNqfZXC+/
ODqtT97H791lZ+XMiBSTzJD3H7gw2diyZOkPZhfTgeiJTN7yedVmY6Fjfsk8oYWDiJQnlL7MDX/+
bX9/d/Mdo23TOKhYNuS19xdXtHQakIb3hwkFP3Vj3gV9DGTo51f5/qTCVWwWBVIQUCk4H75NVPDS
AvDbHyrwmLHV7LRyOh9Fj55+wAX884v96CP96VyndEBK8HGlQ57GdqP0hA73xeOQx31IIvB48/Or
fH+DsDvh7WSU4JG0pn74SIC/DJmqzXBgwFkd1ZwBJ11memiDWH57BUKfi4IYTB9PBbfK+98IFoYU
Rk8FT/Od5ngBgAP70q+e/+++Np45bHO2pq/AaUf/cMDLCHp1JHwNjlEa9nAV5wWnd/cX/vvv7gRE
obz4moyDNPT7dJwi9VJ9GMdDjl8cda6mhtVAKyZXinSHbkL/xc3ww+uByecM7ukoZT7c35gwvNQo
GfREU+xd17Ycw3qcxIvUaSwoWhTbv7jgd08zH1DnOhSa64H5Iy0QgwzEBM8YD/TXzBA10H5a0sdp
1HaIBi+0iIS50vzVOeLHF2WdorJFcGt9+JQw1BpVLDa/nao+es4SVCnE7054s5+Qbug7fXcxluMv
zqjfl5/rZ6WuRl+Eh5si//2NibCEYW5bT4c2VreuxF27SBQ/HXysY0R81XXWCnk7VVUKfqVszWu7
Mc2XKbLufv4sat/fu5pKkQ07ks4DzJMP22eRzQ3SBhvdSWViRqotF0GE1kTpduhNWEUiy051crqC
LFWdXTGbxklc9/nJ6NYkCkZa5TKwrJQr0tepon7+5n50B3ps61A2KNP1j1u7Ng0ufjdvOuDjZkyf
0vpGjd7aGklFdfz55xf7blXiF/E4SLrsoFRqb3v8N3s41C57HNJ0Bp/RRhcD6Qz7iGi4R3QhL799
JY1seA4tmBtgTnzQo49Rv2K6hhnYnl2djHU77bRBKw6T1O3w55f6wa9Lp5GWEk0k1aWv8v42W7Jh
RpazzAfPnKwHZ3Dyp7xtrF+ssj/46rBbsAMi8uZW+igmTzQ9a+YqU+mlDNllJQrniGoqutRlV/5i
x//+UnTTuZRHlvlaE60f+JtfiQL6/7J3Js1xG1kX/S+9hyMxA1sAVcUiKYoSKVL0BkFqwDwlEuOv
/w7KdrdIqsXQt+6NwhG2jMKUePneveeWYEqRSXm5O+1ypgbRjA0tSLNm/O1rx6FwyLGyb5/fl42o
RG4wJlxsx2bsxhsX3c49ZV72RkG+7YielTAen0LuEZxrOgPmSwpli04864pkOeprt4RG5+WfQPjN
jFlNbY/N2Tlr7TE5+/Vj8bOrCKyMxVYIgC4v2zuOQAo+W9VyzBKl70AKJHcjVz3QmmT99OtDvX4C
Me9Au3GYBtDb8raf8sMNS1CM97o1c6hMkbehmmy3WGqOfn2Un57QFhMLwxSHx6uVgmk92x59OVqF
d7ssSbrr/H4OgH1nbxzpZ+dDjgarhEcpze77+fngQHPddDGXI3hsgIo+RDBToRD+9fm8Xvk27we7
WtfGAaK/XCLWtClnkqnXY7x4N40ittzP9aBeuu8tUdtvHOz1J5CD8eq6mFtPC+DzU5KljjZ+6dej
P3hMrGZ3dW+nipUyKCtGisCxLUh9KC68recxGG/E1f70XPn0brWNR3Wz/fsfnpCqcXqnHqf1OHt4
AcLWQSnaETZ+7HyjPzeQy7xxvq9fOU5162zSZOajchLk/nBA6a4ObZtUHnsiUncKw8ZxRs534Xc5
o9gePSokyOnu13f09UVG4uuQFmawYwAS8OI7ayy1myvHV0dZVcTcEWYMfSCpXAc1lQYAAZhEhq7F
LQvjQ9Gs/VuRZX/1Xp6vNCybzNwt9qjm9k19fp2h4AuiF1eBcAepQ5gpVY6hlP3U76CXJKgBBlIk
o3Fs1k+ebnYuweqDXuyMmQB4bCH6Am7IrLWPDAKmL+lQ9W3I0Cp5r5iGY1QYhCiiTvd69Un5fo8e
Y3bnCssPjt9QTV73cSJ5Ruws2YvvBSx/EM2QN2FsmNhBSLMfpnTbQaHpGeB7HhwFsnxPHlK8idsk
jhLSZEiy0Y3RlIHUZ2eI+O9ECUgFnMUeHzFTTgbU6FdWSiZ+M9Ra6hhD2Z9mUUssG7hnk8iMS12g
KUmcR3+WjUvqep3LqMitShyxfZqUABmQG9kPm4TGLeZPpOkpZ59JTf9TmwZa4mpeExGOG288KAgf
HwNzhfugI0N/EhUP7p5bEQP5ZcR5R22TxVgTNDZsKCpWgw6kRmHXJW0nQ6Ney1t84dC37VXUn9K+
9ZLj4klR7MsSYQpmJxqPpZu4TPLBlkDPEVJrN5UA0em9kyPntmo0TGVhzReDV4wJxggiIEOnaQtE
RcMaQiZ1N+GjD+8T2yUXR4x4FSCvzBB2sGbdUxzG8GowGH7U6ZXyS3s/v2Q6kt7MIt6UkToqMNIC
yg4dNHy/7mBzIdHu9L22G7QJfqDu04Yk59VCLZ4pIR40S5+0M73FxhQgGZrSA0ZtYKvmpCUqyAob
Ya7tWPhtkHJQPzaDLOyDD+UkJUMAr5M82Z7QNo6PzuaFqjW7/rKIYfi6bG4pI53RKAlDjfojH1do
/hiCQFT0JNiE8mS5WiQ2laByTKxY6XiyZTGE2wr7WaIcsYSLcnBzceV1jqErPpm7GHs3KM7mzfTF
9ze9WU9WMAIusIW1UzwSSBN7TLtpliODbE82MnPe7P/tyV6GIV9+szbPmXuyn5m6xIo2ox83dmi3
iNxBxtc9mZ0vH3lEbIo/ao3A3Xxtcd7WH92T2Y3kIbBC9eaBszHD0WdfSdSmNYjVCavcgBasDgb2
MG2wnOx0scaTe2avsdXzKnTM/n0QcVnA0mY6ITb5EQLMVBnfFubkiAuN2GGj0xFzE6TzPO+71ppQ
NJasT4HuJWTcMoXGuuV06l1XDo3cLez87gm6QAQvZW1e1ZkhP+elb99hAByNsIiLCTN8SjEbZg1M
JvIqOg/RIbnVXTRrBnssGFLln/inUDKLofmz10tMbA2fp4+l6zc4/l1uO8fHCB5QUtRZpLrJPaZ0
TvsDu8fidhJp+02MqXNpoSpII7K8h8+DDcGbYT2TVNTESxHJbk5FQJNolciT4vKr6U9DeTPhNP1k
L0X+dRlrZMRIUmv/WNKkPp8yPf5IGinLskoygnx6fR6/dNUm5iUAVfuCSDY9wHBAbpDHDuY8LxmR
kUK89g6jbTmMDbdsqSvhz4lJC8wUKVJgqyAGQS29HzBPV2Og5SZqmyEvCwLaO21pgtafkndz65WR
ayTrmYi12zxXt8j8Jtjfs02NW6+zRALYy/FCAFZA6MIzpch/bAaNdFcvNvETxP57FITkpAikLpHf
1uCXM999tMp0+bA4k80TaoKk5bHW0g+OV6wPcezH0GCnMb10h9mz3qdrxgKfT+M9KFNzjBAHj13U
G/7CTVmTTbSxwF4IGnyw3lWG9vPveu5/pqd/QbW3qSn/Pat+hY273xgw/wWx/9ff/Uc2YP1hwK/G
wwsIhnkpZc7fsgHh/UGuCDsWm/kXUwuO97dswPgDkgz7QRqmtP/p09J3+Ec2YJI6RFFHSw5kpaD2
NH9HNvC8TqYRDlKf/w1zVps5MuGhz6uNSWM8yJqenLUVOql18fSPJfkztz9cmuu/qpcfg/ye1/3b
UeiEoYtg636anWy/4odSTghoX6Y9Ooc+mSXiyGQjLLrdrmpzb/frQz0v4P4+FN8Qtmjsm4hQeX6o
MpbulC6+fehJy4BkQ5EXeH7JetP3Xbhmg7vffgyQ9DnXP//62K8vpmPS+uVMaTH+5ZP78TThs6+W
72QO/Rc9/pphwAHlrrqvv30ULG3cNA5FYfxyq+aK3MXGMNgHRoqEMKcelHQypJEv//o4P7lpNGOJ
4OYPXoaXA4LSr3L8bol5wLAido3mj5Fc8BdlND3fuGnPDwUgiwbRNnpiFAwOibbp85uWIl9EwaC7
G0jTvffgN0dZZyMzt7r4jY38zw5Fqg5aElBz3I3t3//4KI49Awq/8Q6JnOInI64WBJ+s0uekf6Ie
/J1LuJ2XtWFpebEIuuEcX7QPvXatRlBAPqa5DLego3lfKkPD1oGS7q14lecP39/HQoHEBh59CsCA
5ycmHQA/fYZhgoq2xZPDVP2GJPH8jev388NYzI55p7lnLw7Ttl6elK7pH6oKSmTl5JQBQPp++4Hg
wpH7yQLH7J1w7ucnk5ElADk69mmYK1GHVLtLlI9qiNqik+Mbd+knp8TqzD6T53xrI714JPxcoQeP
PU4ppUDTu3kICdIqol8/C88XptP9QSljkxNFg880Xw5tUpNIKdEk8WGxJKqElugBZgL9+BiPevFu
mo3kfYVBnzoxr8c39u6vz9DhkFi/SWahU/sKiOVOPdL83j+0vcITM1p+mOiN+0Z/Ud9e0x+3rjbQ
DrBkCIO25t8rrl7neoPs3Do+1EU/apHrsrcIB50or4DAoyzfCytmC91aZiKCOJ4GPcjWscW6pWXF
V4SgGC0sq1A1jAWDivTXN+D1m8/OmS4e68ymKXo5drWXRjP1fCY3dAaI2GZkL8TQY8Ihb+X+14d6
NWnergTdcIPPq8Vo/WVDtya/s9AYKjAG7IXabbAGUt/bwSUxpqn3ZuablOWqv8aH44YNUtH3s9mw
3fn17/jJKdP94megv6Cv/LJnE0s7ka5o4oNNGyAsPYsc37YykcEvv9va44xZURFHelxjDNIvvrs9
yynDdaGhZSUOhmnFwyRQcldT7r/xIp34Ns8fMwZ5BiC8DTeh08p+vjhoRtrbWiO1A3PJAoJtR4jI
tScaI8Hotj7FaW0d7Qnn1EVK34MtYL3WxWE1rBjjEfs3fNfJBjqDIdDxN3LBFAfLH5wrT9kBTFTr
W+HEGBBxHxGnKlSs2kd97PMigj/BJtjqFzZlWWUSDcsGpxa/e9toaPO9wHKOQgdL/IsT1KdEq9sk
qc5MD0tBnfcRruaHmgiVN97YV+vCJmQkiIyUJgoXeJjPr2TcjJpURVufzX6RRrhFHbrMZvPGDXu9
LmyHoSRi4UHzgPDo+WHkoq81sLr6zMTcBJxiWocn36b1lBNBF40wvM6sOWkf7aQaMNsI90IvEydU
fUUSGa397nHlNN7qpyJweble8bvABzCoPYkYXy78SYlZmewzjNp1VbZni5aZPjbjOXnS12p1L50G
wzteMKG7uwwVQx/gYl9udQP43pZDhZC/G8kz7DR3IE9m9JOoshuZ77aNuR0OfVnTXjtlM9RTO3+T
BYPNYD6lN9TbpCEgNzu7afS4q/blKeuB1sRuQwg/aackiKVAUo85osPy6Z3SIrSq11N44hZfX1NZ
67WIrZLCnZAJa4ubyE7JE0blmSpI6i2RQtdj2kRVbEFc2yIrtFyAc1urmCSLDRmaR7pqCVF0HMIu
NBwpc9CPswOv45SH4a5EY2SnlIx2qRDX11t4Bmy9EX6tXgg29aPsPP6ECcKAxzXvq6SMY5JHJvqK
rsRetItPKR0djOjjaLnjQ+sW0D5oFHRQRfoGbnC+BX0U84q7UyMN+ktZDLjDaayt6U4/JYTws7M9
Ai+lvTcF/7GEpG8h81fDu9XbMkacWe/sQJF+gvS9Sgf8Sv0kHxeVr96hl3JhfeiWfopG5kNPA0yR
dk8piEgy93q8oPYp70Sih4I2kOlSD8xk0AdsE1s+ikSddIeRHLbekmJwClqL2m7nOhPJKtUpZWU+
Ja4UKQlhAZUNTqGuJtwd1ExlQ0giqiUvCG3B064uhV6weiBiXNP9zEAmDRjtcDX6luCXhJALST9J
tte4CEmGgVo/GOR25F0felgCfVzTQ0kzujX8y3GLlzH1dCkPMsm9h+6UPzNtUTSpqLDkmLXtXK2n
rJp5i62Rakuw6aAduLtxcEjZmqot5WY2K7x9ub6q+tyoybLaDVsoTjdZ5OOIkuyzId9Sc+qh1r+i
Uxwwg3a2HogtYGc+Ze2AsNLeY4szHDzuRtfsnUpiX4d9Q0qP51Y0zKVLotsNV9mLPCVpI1mnfJ+4
7/QmBI3RQ9DZIoBSwNnETfP6ZleYmKzzXAy1FTp/ZQfpWYPsvN8yhdjIzXdJPFrf8kyWd75B6ciV
L6bz2ja27FaD7KWQlJDHMi/4xvqLrR7MnOFuUE9W+R0vjdrAiNhukznHpxf7y1U8k3pe2FX1pQZm
DR9Jw+dmeTkNprjSiSDpXZLDQ0P0+Y3X0zEPCdLKH9oh3chHMA7v/XrKvKjScx1cFYE6W/JuwqO5
6L0/hGp1kPYOc3MwHNgQh7RvRt50lukHiFAG/8jEOY3W3kyTqEv0+d0sPJLLsGuTGZdOYzAgCDzT
GuzjdNDdBGS7K0dyYy1JI25IbLrAq9B6gszJYoKvNOfiQ2c57dc+WWxYSAU9LqLocKPstMXrP0ic
3veqr21aisgaboy1K4A4uFqJCUUm5rs8YVKw87s+ryOhK9qqoli6GwH+ewkrGmP3jbmRvDV8KBVV
phsBi6TtT+PzS+rHHb3qMSdCwbON9EpOpI0RkC7Tj/ShVXrI2sk+siYi/iOGlRe5n2jv7SfXGm/M
ISE+fFz4mgcjmWlWAFUPNOtMztHykVFNtWMyEhPU7kFT6dyNTaRkbwI3nxb7I5l5Ux2509R7e7ko
kpCnYjwMcWl+1tYM92hSoFMNWQSaOzK1VLHztFj/2iwN5mQ2DuOw4fBjdPWDgI0l+6V6BPbFb6S/
4Hdw7UGC7Ba3N7nk2rw88h7pMd1YVqvd7JgFImVzqYGygrxIgwKpHwCtdKFgoZELr8SibilCHUbY
OfMneAbwtNMavBnBHSF++f6jWhqW62nqzHddCiifdjyGuIDd+zbNYUnGFGhqNuIs1+4PSOYnYC4s
pjL0rUwnbU1Ty3fLauxPMpm0zxWgkOva8sFo1OMocaH5zgrToxkRSI8Y075lQgzfhDHBBenq3rxr
u2wqz4WohXFIx7G9NOFA5AFeVQy7q7TGGm+6kykSa+vqxqRy+lQVdf9gxwZRzqZejh/IzO3qPehC
96bsJv0erE8GNAOxOTFj0D6qMIdMcePGw/pxrGey5nxZIA3UZ8FgxYBopbHcuublAFnxoTTy4Rts
VQZOzbjWuJYZ0NRMyroF7i2YLEyO5dqdF0M9De9THrRH4GHv2NAUH3MBzz+y58rQz9amnKoIPNbc
8e4kQxcCQjC+MgmM2SXIdXpwtoYYM0O+UtritLzN2BehhVurTVu413FbSX8q+qu4jDl24miNcSBy
0frAQhFXkZWSHwEry1PZYc4gnVgEcDs7xOKwAExHZMOZlwxLslcmxfN5nfVxFq6qk2rXdqal8VTL
aTzEaUd7mvxG14Mn58tqx75Du+m6Ylj3iZGtvEj07mCXJcyE0WhNpCqKSh7g96r2HiWpTaYdud/9
Aa+810duopyLiYSAem/ZwM8gv85gQkYsmOzsNfpn+7WkJx9OZlnNpEO0/r20V1KcKMBz/MqqAc5v
LWOCb7aFPhkadiOcCxGnQh1sSqBtFt5WOQKxTtzplM044HRbfIN5llUhj7SbXKKSg188t3kHfyA1
8i+1H6dPcxErbPxGORp7V8npkmRsg4wqXjEnSutYq1nWXO8WRpD6lo6FVAeCnEcbaKGVQxCeV3k9
WZNgXNoxUrphNGZcDHFnXA9A37HH61Kdma2h6l3lqa44H+EEf1nRsM6hEOvcR17uxEeHv+ZdwqUh
Ag0CR6y/sxXjjh2QgtIJ8nwtYO+is7oQ2Afa61XX+dJYEq5RJNqmOps6Qj6DTuYwM7VhELtMt/ur
wcxIQMdGq45JmuFizCoUewHJgPE7T+LXjeQ0jPfCQXFy7sOCXpHPy/GOpyP5humgloHu2sv9jDv1
MVcudpXSW6uOQq7uP6hSCsJPkaTJfTdMFfcPUgbYPN2mhqgoxJ2ruLGsWxLQufKOyL0vqp5VdpRM
sShhs86dmGXQYww1Oeb+MWFfhL+nG6E8F6ZXf9YabLJB2aT5lwV6sRfRItT7o4On+ThpuKohBMfE
l5KcwHRD2uSDYDTObaAGa4IBX0IrFoGbNz1pjI6W4PiOJV+OtQMfjVpDZn2gvMUdwmFp2zrCoWFP
T4lZajnzZi7pDjQ37BExEsfDVMdPPAgEIBi6pnRUQO1Sv5UZ8EoKCGYM8RQaVY9uHpaGF708dvkM
wDOAGXWcLuemPjMRdJ1FhWablrulLqpPE8PRD26xtscNuLiL27K8zHPf+2vX9r+py782wQOc3h+a
HK/mLjcNjNH/Mnj591//Z/Ti/oFK1WRdo7l3Mlj+M3rRrT/YiBLyhZAFkcnmPfrHsan/AT3exgFG
72Zr03nsvv+ZvVh/sC1nAKoLAxkm3aTfsmyy13yxAeVHWQB8tzkF3SLUGs83xobCHQ4cJkFe6vIx
7dJBVD28C90bS9YAEzo8n7K+3HZ89HG6qK2y5nM6AH7ZKTadMVxWrBuBixvPOYd7U+ehS9qDD2oi
0wA+TE3xHbzA2Bz9VI/3+WjVwJWsqZ+OYnHtW9suQSQkNpVp5Exy0iKycnXjXTzUKSC4NBfY0iYL
SNQy1+5nG+wDUDE5mswdJsuAzz5r2Rkbrxk/lGcvQzCoJO12s9/6w67JLc2i/mubeN+T4RKDiKus
MhxLhdZEpMPWS4nh9pxnkuMdpZbql+tawTrQ3bwD7GJ0aRwV0O5I9p09zYvyZcYpZ1WAeUJltNQM
jmuBKCgbl+1d6mrJh7ikUrhs7NnQ70kycfJQ4BAnj6utR4V5tPTfd3EJqcNia1pESvBFC5Q7dJBM
Ierf6J3LaCpD8CeBZHaoPo1kSDDVI6oJStAYdyoFI7USZc1eNfXs74k+YfMUghRPID0+O0R0WnAL
Fic2vRCqGwk1sVpNHcZdKcFmslEfwTohcYryyUInC0mh+zJTmV17TpndZ2kLH2C1EBaTHMMtQpgD
ow+ypZPcxV1flhSLFX1SMx+Tx7VjRxXUtJQhhDVkstGgwiAQkcuqiTAmdkGGzeCxHy6IpAGO8FfU
cMy+O6gsrUpDfaX23wAegxYMc5/ek+RDYDFUdaTV05ZjvDarPQHqmRrUDxYC80N9ij2eEeJAdrO1
sd/NWko0cq+Tb7elJTdQNea9EUuq7nxg3A5gDoAOsBUaZuxtwVaPKNfPSleCVnOc4av0U8KZbUuI
84ztGl8YwUPAZtW9UluiM10JBumm0wE4mf2+pXPSp6CllqJzaLpUDTE187K24iNdPq2I2KFVV8OQ
E91qGlopd2vbGy3pcAVR047mQEFxtwTqxXaae+Lf5vttz/HZWTftLQTu6VCeAqxtF4f9coq1Fp3Z
7ptT2HWl0beCYkO3ABIpcdjtloztToPMSNPZArOX3Ogup1OM9lxVpXdd9lYGNcmWRG3LeVi3eAIE
7QdnWuthx9yeaG6BGgrOwJbYrWrPmtgHuyQ3+DgkUriQmg06ZUrteJcKnVESIG59iTqiOv29ZvKh
JxxVTvOlTNJh3m0yxAsSlf3mjc7h65ULPx/SVFTxNHtpyT1fueZu9hstLrMjPX91UfRG5+xTAoP+
9NjBv9mpe7VMOts0gdY99nuko1sf74eZndUunWdKKOCq9rUwAQcbeQaA70oWb2Hct9bqj71lpk00
sGkmgmFykY2++MpDiVRKV1N+JPWjiwrLH251vevhy2bmXbxBK3/4eL05Gaei2I4Hop5zw7PIgPz5
qcHrscgp3AKUJWGopGZNdRA7tbhUVa09/D+OxZ4AyhQfP9r1z49F4rPjx6jyj3KRSU/1ugWkQRO4
TcfUvvndY7mkyjAEAvGxCYtffNlsb6icqrUYu6fEO/eGuV6xYdbYbrzJqH/VXt6EkjTLIZhjRkfr
u03efng8CmOZCh6M8ihbyauTkzlxNRPOZl0bZY+Kj8h1Qs1WI3av8yrX+sjqfelHxhgX+eWIhvfj
oKTugijvM+83W/n8Nn4SY1nEg3ziXzqbVpMmTUI3+Wj2bbrLnHS4A5FcTfiJ07em6C/b2RzLtjGI
MGvUeWHcF68JbdNGjWlSH9t1TPZz79iRO2fO/td31vrZYWDg0san9YYt/8WtJWUYX0RlVEcgzJob
CWdYbgpk8OT7VWLMQ+Uq77ayRqsITfKuOraPAw3o3DXqp03HWRzcbMxa9I1CQfgql9wCC4NjIAIE
VcBRWjznk05uZ0JwCYYG8JF1cqkYameRrmlWvVdt23/qO1CfZ6lHuyuKxaqu2bAmJNuXln5RJYVf
RGxeB/OAp2bpIkMlA9q5VQK8srt5ac6WCmAppJh4kDuCb3ghFgLfZZTX9HzpgNNdJko6dx701rPH
S3/tffLu+P2//VbC0ED8g8UORCAT6OdPL/KBrEYlUB2zgW9AncQABL3lk42G7vjrO/d6zd7E9Yyf
t7WNudmL98TMPDFwPdmi6Q2OW3d9wIbLmcnl/vcPhJAD+T0aFYtTe35KmeU1uqAvdNTcjNZALDxq
2tkKU9t9a9K6fWeer9ee4FnnvJBEsXCzd/jx3Z/nQrRJXVLf0ml/ZwvlhwUcSL8FtkVXwNyVlv39
12f3+vnfzE58HBBz4Zt9+YkQagLXY5nVkQk2omRmBEdUduZv3yy2GpiOUFpsfjf/xTUshMbINndr
TNlllpGHo8rzlBduiUxGg298hfxXVxEZGNM5GBu4quwtCvnHq5jY5N0mNSz2dioEICOHchHp9tCf
wYf36b2ViwhMaevloa4XuyIpb3hLbvSTy4oLnQGhgwhjE2M8/w2W5BSLeWiOLnv4PKhkkwEK6zxj
3p3u3/+2z/8iThU78Pb9+++6xd3jf9ct/vuv/7N/9v6Ank7WHFIp1IE/pPvoJlB2VHZISnyg6M+k
iwjBHXbPFIbGCcr+n+2z8QcybTondFLYcCGI+q0Eu+cPzDb32YjxOCIp1/iN7os3pC3tlIm+StnJ
Zss7lmumGaofPvxwdd4s0DgKBdO2OWdOjOSOSu35Y6nFs1V6quQojZ2EhiSbtaEVf0ZG6fL0+4fi
Fm5GSqzqNDOeHwr2mai9ukqxuSQkyyap3LfOuBK+miVvmJSffwr+Oivm4dvonxBC6DrPD8UegyHZ
2ifHrgJhFmvCvzIGt7yUyhFvfAxe3SYu4FYlcPFIicLh+PxQtBRT9uZ2ckxyN40Wrburi+UtGhWf
Fv43//kQnM4IGxZWL9o5PKovlw/dVj3OJZkeW3wOV13FNSTeohTTd/r/uRU1pQGkblAVphRijGdc
IdM4k7ybmPp0EJ0QV8jdBZzSyjUHJIFlnV1mXp1YmA+c6ryxfYIL0WEDy2wXt7CJFSzaBBg6zGOI
etry3h5iLCedon6Pms41P08QYS8JR669aEMwDVE2qxFMHTkDBA3OKFIiXCDMgjRUT8SxxnGj9ijS
9Sw0Smkah3x7IgOfYHWqGbtrx3DF7wjzeVoSG8xPhQd6AiYKS9ZS5nWC0IHZR4M3eochl44Sg77M
Oq/Txj/aRmKnEYGI+pOV54wLV9NcHos+1j82k6ucsExafY16oknKSF9ACB1nWZmkQq8lKn/SXVb7
zHRHUHW6JCrwTDqro515JhRu0FdeT4zIOtOahn/FzTa0Wo+y2gX4avSMaiKvNsTXlAkuQGtaxl4w
9ql2m9STCXGw9NzvVNHcoTmfzO8q0dwUom+uHkRedYzgqyI70jxpgf9ymZ7o3TlfSr5N90ya4F+S
Qcek0S9o69GH8o2viabrfQj6oSCKLjb0RwSAMMLdtkrIKOBC34nVJtGZol3rglTa2+DGiml846Te
ZlnwJT9PzeLcauABy2t48La268fe/JomvfMgfbwEgZv61ffBJmuYFr6eEMynNCslmHmeevpeKvuU
aWnqR67jdB9zd52vPSNmWGrhW79wPfQtQWLPGvxWZcPV7GjIB1lGwBfMsKVrQxfHUxKWdsLVqIyx
9C8L1rkvomrNcacUsXdsGct4PliFsJbLpPXjp9YdpWQW1y53erNZgXBJ5TTqKOgvYo8VJoRhNr7j
f9cTBaGWViJ/yObzYrT725rx1hRMUyplKGTlM1LQp4k5ZTL6hPAx40EVMbexj4eqoHa+tEvGrlvQ
JXB2KtzMDAyjlYgDZnULOrS4UmuRI/8zasIqOkS+Fym1059cH1+RSb6WTtQ5SnrhOknjXvZTvUQD
0rxx540T3S+HyUIfap2qjV1vjsPZ6MO/5CcIyKd95/rX1uQR/cCi2okdAU2dRgd5C1tadDhhu7HI
ZRMmwNZ3zjBqO3hP/jc97SUz4Jx8ut2EzU1EpQlmLsxA18j3FVHABtQvQp4/5HjT3nWce4Zhxqo+
5XBoh4NooN2/5y3YbIJi1cPMWdpIWG1FriWUCQSNSTbmB8jG4tbBNpJENQ66JKw0G8PTmM0oIjNH
NPRStVazDxjYlPcuH8V4z05KlseGzt2fSJBkeoYVlGdTJDiqokzo9Qe/mcqeB1S5FYjwGowsGDjy
7LrFVOcxi32FS8WZNJqKffXABpTRsosMbyGhgjF+MAC7garbT8135HHGO9yX+VVLqPc7Jhl0SKuM
4HWsfFl51Zbm8mQQhkTcOR5C0sC7MqnCrtRt2Jp60zTRPMeTETRLppL9AKZoCX1A+HdN6QFrJ4Gq
NwK/thip41BBEAONhWlvlurJE6rvLEPqgYYqJDQLBcwyGlCCCWrIVvp7Vn8x03qaI56V6ftCjBeR
XIjGTKewjwUhmoxjOYEsQPGgv9dir7zPMRJduOZoPMhCm5Zotljko1VIU+10SHNl0Br1hOADln9g
W6n8SqTJoqHRShF3eQktClIxHAKknIw5YmAvVcda3pv+smdAtUW19n375Fg2PV6jzu2vDe6nLmjQ
ArzT03lQIU6x5hvUCLFErchMPUqwIznRuvqafr4WVVzvMKClXaTJFCogq7k0Qonv7VvVKEKNBJHj
xFJVTdEd6kovPpZCfIhrF31TbTDGC100K1OwWEWuBbOdgfeTdd59UQSYxLvKJOcVKOrqWnga4csz
JU3mR4i+3n2lteVnMrr0JMqZj3obPpeI+Eot8fuChXtBFWH5D7aBnzNIusWHtr5ChmKWkDefc2HM
PBtxlt3rtFOuknhamh155igffJ4oMyTipr7gfSk/WLOaP5uEYXk7za7mbmeOuUHurVfgX5vMqiHO
hjXzzhha9VQ5FpkCXfMdsztyi3iyl3xX9mq4t2jv29HiasanMlncG7ceypSImLW8jFdCQklkSKw2
GFo7u4qNhpgGFHgIbOa8QWxTnoQ3tjkBiwdDjR4nAaq3l5tKpxDOYofmpt3pjYXmaIyiuQgba3DN
oFoVUh+JvStkd1Z+AZ/uHMD2X2m8RGWACocssMEAy1tt6iHjJCSCyK0e7GYheZc/Hn25ZkVYneRH
7aZEQnhXoCdL4+LO70bWWK3vaygmZTjEdZMgATbMd6jBUsUUSOf91OneH1NCBvsoVsnyeXLhrrPi
1SOM+SrRb+tWqDVguk2t6C6gfbHKekZC035eW2QQ7qJHU52TCF/ktP4iPaUTvascSaJ9a5LVjgo2
0dGksEwbgdAA1u2n3h0/OrKfSxjpSY1EAH9Svc8Q0VBumDjtwpY2wr092xhUeeDy7roSflFQtfhy
PLAz9S/BcfTTYRV5QxPdzpFZu4tYll1fMeCGdlW0fYT+eOCq+xkPcZPK5PNomPo3RZLgLdrDAvEY
v3Y+k9rg3xnb6GTH9RzO0c3wxCo46sPRAsJ7ZqckTkeDvr1Efux21+WkdF4cg9ZjpPORnoO2kkxm
MdZWCHLI8YOfnEii0JbBChI4B1+ncV2uOuRKwJ/l2FyQ0GJThhWTR4SIUSSULpRG18k6udjrhcQX
i2HROGsoa59ihuqfVlaPeTfqNNr3RPmleWhXafrYC31xA99Iqy+qsp0qbFxRthelM8P1mnoSg7VZ
WvfI3roPbra471eh7A+ui/khQm0az2HflVDzFjetnjJBXyrwJvyogeiT5qO5jisXxONbBX4ie++7
ywKFGVXVcaizxtjDdpRP1ei51xhP8/fjuJqP61RxLZHimknoAC2e3k9yHeZwtq3lz0r5gh9JTyIh
3QeOIQLTxrIhUqfM5vVVFvDQDdqldZy7OdrABNQN6AFK4WWQD/FQLOnezVRLlpNs0ca0FcDUcIIO
bpOC7a/s6k9DKhLmGFgZ2+xqXgTJzGjKGGmZ23TLljiG6RRtQy+kb5QA6WkYVgCwv5+2CdnUqe5L
dhqbrV7vrNHod8ZIq3MbrcVI/vCVn0ZuXYauMvRPoziGbSzZwu80ca6JbVy35r39f9yd2W7cWJqt
X6XQ90xwHoDTfcGYNUuWxxtClmzO5N6cyac/H8OZlYpQlKJdfS4aBwVkwem0tzjt4V/r/9bPcS/i
YWYpvsKi6z5Ne5FP4G0LF8Ws/bGto0qo7iVBukaZL/ZCYb0XDVG4zHQpKGGCrJx1RXMvMU57uZGs
bKTHyOjG+PH9c+JcjXlz1OGQwydhWZzijo6kWZEFTlx3zla3phssRhdx0Ls+trzHTgnGM6WhNydF
myIUNRkLYR7X/ayGvy4NAVchbhEeyC5BZF9hvogyzHBJsJT8sf5MtfzNWZHBaHzEYQFlRdWP4Yqm
1oR4hEA4JlaiE5s1IWQbxTnt6kgw4Kxow5NA2Xchr2KoPG4goLGyL728FzsX4ydt5UULI6Gip7tc
j3z2D3Fiw1lv3SkQi8aYiuFyIPOOyBZtwNHUx9GNbGycUoZWk7f9mw+Xn20WZ3T8CjSpHR+XQQsg
uLku93sssBa2gaduqQVaX92kGq6xAnBEfX/EI7bUfDtMDz8DrhYEPdoWjypvQnUCuPKgnOPGrr7U
jhZcjSoKaZjXxeeoFcYVmZVkj9dNaZOJldsf4EvJy5Yc0kukdeKKpv5SsQMgZ+//ZG9fh7k+QXwf
7x8A7eP2BK9pkEpnEamqa1IX+BYR0Pmk3x/l8HNCgjNgS+vUcucaKKWuo7KLaFUhbSwX267Q3F1p
yGmXme2PNsuctdkW+ZkHfPhBzcNhIiKP0IQvQsH6WD5prMR2hiIPtkzi5ZrDzLhUjaraECKQnrmy
w/u3H4piG/wyBD++0+Mr4/TrkPkl3C3AJyI7ULh3bVVFZ0Z5e/8owdFviH1lrsEf1+HY7yaeMtgk
BUdk0ODgqHP06kC09709/Vmp/q3i7bsAegjWz6UYK7hzzX9dx89VWZc/m/8zD/D3vz/8Zf1f+1+T
lTy7jQ5+sSqauBnv2x/V+PCjbrPmL0L7/F/+d3/zHz/2f8vjKH785388veQxB7W6qeLn5nU6pkM0
xNwkAwAMZ5I6F/1fvcdvfFA3ZfWvfVCn/qq/arrOXNOlQZOschhgM1n2L4q9iVuK+j+tnVThmb3/
6Yky57otYo7KzLT3TOn/rOlqf8xSCMSy+TeZVBGV/rpFfxZXubv/Tao4MxGaMX+HxarLvEzj++Fi
o7TlGKqQIna9EwUTmZMdUkehjt2ZV/bww/hzHGQjSNcUt43jdSatEksrLUICDQpHCy2KTIKlBvvM
KEeWwT+HgSPEjaYRHffg4eWgKk5z6pDcdQWoEHPCZKX0EQJoEoRdtVRznVYPJqU7b0q7lYpfe1pb
cC/n09Fwrhf55DW/+mGOyuVhHXuTjS17hydE+YAFKH9syrNErFOjwBHmgrloRz/2hSiOFLiHc7mz
gFEBYXa9uyQKxO8RUH/d2dfDHF1M2WigNaxC7grH6tZFk3vbqFLGp1df1Ina/+HM9uco6IuofPNb
eYyOJXOjnAg5lTuC5q7spv9AX6dcWC2YrQH4z5nV7nBh+DUaaDkkDVzGcB3m339lY3BpmpqSJm92
MyZwWLo9vRJ+CvC5IHFUM84oAIeS36/RnHmvMWsoGnu7w9F0fNOGU6bNTitqkS4LJQuSTamUw3iP
az6JoLAapVjh5Q7FKqOKDwRe6WhGe/8Wz5/AwV4WfoGF3od/A5gjfszDH6M0u9Qck7Ld1Yj6A7to
4FNreFQtJuEmMMhewocfkghPKvbdbw/NK8q2FpApGN3jHt0S+xclYEfuMrLDuNF2sIEPBANASAI8
A00ml65i1udomSe+EKZSA8LUnGiAXeXwioHDhGnPLd5lukLlrCm9+JLeMP3h/as7akHeP2CsRThB
EK5mzvTR5ENDq0g9Ok12VlAHLc1xtKshbghjXJnSGm/dzgkFjH8i+cIxZLqJSRRTfRHmTXVmIjx5
yciEOA8Q6thhHl5yGlqFCRaUr7Wj+IDNsVgo9M4t37/iE6M4eAHY1tN1w56O9ev191ONQm+VELo3
Z9SrAXfs1tKmc/iIt5tlXC/IWXgNkM8c2KCHo6QtWCeaCOVusLD9O6L+3s74Jjt080tcAGVBZ5de
AhkxpgY3ByhPX2chuNRlV2+Lqk6AktWOfRVHnnWuw/3tx8ReHnWD/RgdvXgiDn+2Ep5Zo4TYzxPR
1w9CZEXtK2hFkrSnrFxagIxM+lvpNDvzFb8R37gpNFtakPPISGFFPRyY2obq9AY3xSyBoCy8ZKou
BBUWqDJNjr0m60E+Ol2D2VZvvr//2E9dNJqyixYNcJm55HDsSmlihGi9Qh5qnUdwYXZKe8ao5Zvc
BAazKLQspkRCpOR45hN7O4V6vMtzXAi3G6Dq0ch0T4LekqyoI5WWGwzPrXZfV8VYr4cyhlKheCk8
ub5wxqdANiKebUZe9fn9y3/71ntsu0zsb7z5TKD64eXztdlD3eXljvzU/DKYuxRtTTSrf2MUGtHZ
w+Av42h+OArxupU94ibftXKAKq1Ledc3Mj/zBb9db7kW8Cu4LzHMYRI4HAXguFskJPfs2AqVl3Ze
eD/xu3dLFOYiX6haLn57YmJAlFAVMAZb4eMDkmtmY9Xreon/vk8XAPjjTUTbzJnLmqeEwzVuHoUJ
CaPnXG04monzjrCKJsWDX9p015U0wJAsDtDEKAPl37mgefNOnz3zk3b0nCo6lIyEhXun9la7dtue
tN+Mkun7b8PJCwKkjqo/V6GOnxNrdqQ5mIQIYWKnF8YVNTiUloeevp31+0OdfCV4PpQmPMwt9tGU
RiqJU5suL56O+Qk+YECTbidgSi600XKutEDot++PePLiPN7C+XA+j3n4Euphyd4YD/+OqADnm6Wj
epWqEz/knnMOCXPq22XS5AaiY7E2Hj2tNKzd0VZHXgx0r5UTDbS2zYaP378gC3MXuESuh53A4QXB
O0JEM0MBXJpadZJV9kMXevVFKFXr4feHwjDMB8Wnihv3aEbslMaGOMlQEefMBcnD7YrIQjQc2km2
/6OhjtG7HBInWSOh7jwjkeWytRrxUYmqMl0INpzf3x/s1INymZpwO2m43uej8eutBSGmMAG0sNwR
dTus08iyN5WJ5Pr+KKfedXwLFADw5eCQOj7USJCJUiYlW3IhgivDTGl3pxcdpbsQsZiQc1x8G+8P
eup19yxVwwbE+45r+PDSErUnP9LB+leO2CHM0Iu2dC3kICfT7My3fOouzt5TGHBzqcDTD4eie5BG
yJrpnXs3LSFgwQIQjTwz284/8NFsC1zaY0WkWkE94uhZNWXjMY7k+22AnS6SypCr2jGna3qkYcXj
9Cgu4c6hgr5/I/mgTo3MjIGSDLWHcsnh9dnppJoTp7vtOLd2c6RCb+XxuZ8lTqMn16g7a2X0o2su
dSix2Bf2kq2c1dt+L+TO8GGCtpXEgnugBYi9rTHkig+V4b6ctWCENXiuLj5aUnWxaiYL0uWNH10R
1Tqf2ywoO8DIEZeTgg7ZAju4fmFmeegs5V6MLoAsjMtq1qhFIKAFhJi3rsVexIYcbL3ETkXxzp1V
7kDtEbxD2nHHtb0Xwp29KE6eawO0VyYIu3FJwxpogVlEz9gFvcR7ab0Zjf6nVXYmculefG/UZuiW
ci/K2wb6fDwr9ZWQ+Weyl7VbB7k19pO9qG/O+v6U1YvRqXJ6nspm+Il2y5G4nz0BXUR2EPlRs1WA
gGTQuvbeQkAeH3aCaHYWCIouUDr2hgOUrTZdTWI2IhR7UwINpbTSyiYlKpkdYrju9xYGHXdRSSR4
DVPUAhdKN/pAE4av7e0P5eyE6PQ6u8l+2SMAhiDV7l0TETYXe3ZSmLOnotnbK5Q6jAzf3tsuyP/D
glHMbgwiHDBmsN5h0iDXvL0w9taNBjYR+zYbwXs54NaBwjs7PSbiA7stXX1ps4JKk9q7pEDSuh7d
OcW1YplyVkXUaj+NIoq/0atnc66YhLdp89ZZxlbOdh+4WF0sEm+Q37uhkB8KxUmJmYZk8b3oC5xC
npuOcEmTYbJ3biXp5jdqzSW5pAakit6phGQtSDf4FjZTlvA8MfWvgyRKPwfCKX4OpA3Q6UbiybAI
lc5QYe12k7uy+wAtO7Kq4fM0SAXclVZDvEidLn5s8ml8jpuhBG/Kulj6ja5aoPvFFC31Kok2WaQb
7JSaOL8bzbEHLhOO8mJMm7aY02hbALVjppJFCwjxUzfphL2rioYzL2xQYdcxfcc0wZUel1G2toT7
yHkczjIq/gSopk2LlVmmWCokd/x6qiYqHUkZVNeGKaxkY9hVkl17MqAFgHlMAwpXw2+D7CoVGu0S
PUGhDKvJxhqhIzoWMoTRmudNewPoCH9eVmKR8fF0Rc4OY3WaL7Ua0snSCl1xaxHJZy2soOkq5MFA
A8g2yehFoCjlPpBxLmb2VkxLtWNa7sNW5is9ENgbkI+1YBGbRU6mh6EmchkQy81ddmL3WVWsKb1E
ooysNWYZDTIugOv7fowyC85G3oCLmRrQy04z3jaui3lA9OHsp+kbZybVFO4tXldr8G1n5EkV2ig0
X2uNslvEeg0lx2zB1flWk88Oo9CuDIRxVyex2MHYsdMqutIQaSwWD2nbzdZxae1cZGqLQaHQjURs
GgcHy6IKJ9Km+0rL/CqWo4COBltrQYL79CFGMohWhlGpt6FmjunK0GJ508LMBfyRNtUcoC2fyyZJ
Bn8squHFNGLzjhYA2tExMORcIwSlZzlFUwJeWbg73egI5Ywaz32GMzPxRtNlB7YnEWJVBtP0md7O
TL80QCwbG6eJkh+pUtEzH3ZlZ+H3NKCDK9HgfKbHFaDCSLsuscoUzq6NSM+/tkJ3+jXYgu4jQc7y
XksC+VLF3fS9Kbroi96Udbqgr5Gs9xqTJbdPS7N8Sft7/xMii1MtYwAkzyl6xlfgQL23aBpMF4u0
0bseBEpIoCsVVbK7q9CNLvsgG39ggDQE6BGr12iyHGgOBmtq4i7tVPE5hNh9r+oFLwqBZtNVztzw
2QWVDLhz6FGzktYl6g+bDil8Nca2OzUy5b0pc++pN2DA4AUQ+WUdTPZE3TGSF7EHX35J/rxEood6
RaK0F/Txyksq/buW4ZRd4C/gzkaeEpJzlPCV+fhdswF3StPkm56FBCZ9SEPlSq9i15s7gvh4Qt3u
xJJSWHsZjEAI4IJ1W/puE5DFaQOQbBRN+ZLFam7uwAe16aKxS5aeEiHr1kqpRayMrFfrRRin2gtR
AeknxxxVxQ95o3ecFNrEb6cc6dDVO9Y6T8ZKC10gsCyiIHv4VVi78ZpUJMh+C1qc5kvNHWjq1c3K
2GaU9LcVq/33uHe7T93etlTuLUxOaGBnYv4d5YoQ+tRdhaDFv8BtzO6D2QXl7g1RGDswRynebJSK
TDW8wYlMb+/eSFVUevGFDwF7FakbQQTQYLZd9WUefE32Zqxs9mW5e4tWvLdrvb9dOb1ZoQSJ9sux
6rh4kSRWWOiFx/kwcNRtknt+HOqjP4b0W2VKvUjNMD2zZX+zv6UvAM2TGqCBwP2m/yhWQoVYS7vY
Obmi3tmYDsVC0Lm1pIn8XC/cm9rMPJaj0kaCrxUu4dFerDN1gYGFHTspvRSBUjc3LnQDjyAc7spY
lEXFxtNKgx+z4E/judP/Okb+vxMqDxTJ/x0SJJA+8jaQwV+9Sm+ER/+pCNMnxf+RxSy34T+IZ30q
XurXUuarv+dP1RHU9bzx51xDhM6cdv1P1VG1/tCoVgAMRUD+hcf+m8Sg0TZA6NZcnzFsyhn/lB0V
4w+DpMo5jpsND30rv0diOPwYqJLbpNlhfMDqwvTN8fVw587LwH5oLNoN0WaAHQM0eZkCKQsHXbCP
Mr6pQQkU/tVtO6EuHR6H/hyUkqnLTafSYM6fyyu9hzjj1HUEg7KthFfGkr21w8w4cyw5PN/No3iE
FlGVpfNm1pSPjuSK6mR2jWlkk2NPw4UVs1GHRIAe0J4zkhx+3/uh8FFQR6McSv3kWNmgSidUqSnq
hq1Nv4iwisKrcOtdo4zPsk/k9W/eP7pyeDHm7CcmlTddhimMrmIAvgzJWQ44rqVcuwXOyvdHwQxz
cKzjsmaRCPEP4LGp8/bOv//qOTljVFKkmaB6u2q2lnnLyhQPlYosFpT6pdrYrG6JOSH7470cXxAi
i690+maNT1xawZlET6nKurjmoGOlfH9MtUJLrwK2cNlF2xqVcaX3gnb9VrQjjBwyK8t7ywBud416
ZrWLAdUcxzg+ecExz0o+T46V2VAfHYluXDWj8tlpJvEjDstBWxINEenbzJviy3bU1DuiuLK7wk7c
aWV1VkjeQhfLWzuN0q8Z39+30LQq24eK233JZBh8s/pO/4lFr/7GyxXfNZ0CNG/0FJs9F3ZZm501
ZwF8b2w1L8DU5Y8jHl4MmPHkfMKcTo1iggn3uXJ7NrfeYOC0GqkyfPCcIXlpXKHOP3rA6kyUR3GT
p9TI/AZuAMASRPJ6OYniZerMZ8Mao23ZR92Xzu6F8NPWSvEDmGn5rWnmLompVmjysVs7XUg1LUnP
1iZu0WDrwaPeOIVzwdZWvcB1yEFOlh3NFCKbvTCeNXI07dK6WZlDV90agW59CQulKpdlXjefDEgN
eOyJpITR6JrNQ9Lijw8aK7typWKHS8vFEobQ0RXKxpDkBBL2qWoT/6YvL3oanMhswYF7k5dTtLFb
9ZlCH/4eMxP545S19tfEw8Ho47KNvzl55+l+14hAkgQxIzHpnB++RaPZfRvHCdd8mTnBba1nwB1A
BVf+lBrxSoHCES4ai4Rl9teSpiHygfRdT5dxSoBHZX2xIkJ4/BrLnbemaS9jZ21lvCBO6r3YZG49
ctzB5B5DzPdzCwqAryuK/XVEPum3EJfGyzEVfe/HHB9/glXRPxreRDJRrAMQ3ip2K27ymB3Uwo4q
8TFUG+nHNKvetdJtlaVMgtj2m7FixyiriNgYNZLOY0V4BYwPTvTLPlN04Yfs1d1VFmqA8NzSEGQY
em50ZwZpNvl6b2EHnekuoz9MwXQjg7o/J1+d+sJxAuJiMiiaY9A6/MIHfH202mrEEwAVWdqNFtLE
0Isz25/DLcmveWTurcUqhWD0RkOpWhlEzI6UDr1KfqjmbHOldhTfKHtzmVS2WNGZkV1NkaHRWyaT
1fsT2ZuFgGkMGIE7T5XMO8fLTeJFoyJK094YHKe2vV1qmzwlS5rGrnPY6ZP3EzEKLwNNFWiyh/cz
Ms2uMUNmzJB8matCz5ULo1PVMxf0ZrnhgrCJonQj+3JFR+XSUWSRBF5nb/S6fM5Ay67hw2Sr3Gvj
dVGP3cP79+/kcORNcvoC12cfw4KHtKk1Ubj2pk8ywtZcRawkM9tF2RTaop8sZfn+eG+eFxhMdj4s
OrPu9WbhJlhOtmOe2JsgiSFWz/0G9NE020FNzTMr6YmhKFeins5ukLd3ElN6T/3J9IDkJv0KZXkE
wRnYC08lvOh3rwoDJJIp5iv2dPhqDl+NNEsrqxAy3M5mu7XmCWfFTgu5PFH6M+/H26uCrgJFGU+Z
h0XNOt5fBZ3EMq+H29Ssv6ZuSuh8PSorbJPm5v2LevO+82eIsGDXw3A61r3Di4oUKIdGPIbb0Kzq
BYjEdmGCQz1zPW9eQEbh/cN8wCyCFDtf76t9SDKATgl7jagWfKMKLmHfi+wXkB9XdVmIM2/ficFm
OPZ8+zAiM+DhYCRv0Rlot9E2CmYUAGlCi4HK5ob+CvInexCI799C/c099Nhf8b5TNrfxm+93Ya+u
rrVFxkkudjfBaNe7cVDMa8ioYm2ja1/okzptq3bo/JTJGQpkJddNECtLsIj1SlBW2yit8yOvA3Or
j3W0pAfGIMBrtNap1w5LyKQvetI3CzvR5EccT9EKTpF2LYAMLN6/kCODCNM8FzLHW+KLNFFI9yrB
qwuhe9eLCntyNqaZT9dxPoQXRJTmP3ExOu7KhDoCGArR6nFCRGWzlui03zipoKboeXHZLwxFiep1
D2iZ6ChtjLUzP+GbdYgp2WD9QbxlISCo4PDR0sIFXc5wXRClwVMzThu9UC6sMPwaDulVXNmfDelQ
NqrOfCTam1eKcXlxWRfA9Mw62uG4bm0UXkmD0Ias8njdeZ35TQthw7YpfXlpVTy2NMxs8zbyLjWv
ji8DmLibFCLMAuDXxpxgY3m9pSxGvVHXNGNaj2ee3Kwl/60czU+OH5ANNWQbDpQYfA5/wAi9Agw9
AREpTgNUX0JpJl/TBgq3BVskEp4DYh99xeLUtsizQAqfFtP6DhMbaDsUF3FOU5qXsOOfiAMu7m2Y
GAi480fz6l2iuiwdfRy9TTWa5WbAYeOnuOJ5cumjq9TilkMcbVRwaM8Ehpx6VpC2rNmNOMdHHM01
nHhKPWkbwmSCyL1IJ2iWFfdu5dDXtFGNOj+zAr39+uk+sECdYI9APDv2bhVKHGs1EVWbUjjOFemc
FG6y+JxD7MS3yTAUoDTyCOgr8I6eMAsdBeuQjJwqbsxtFLU0h1t2s1KlQRNumCSLpBvTa6WrNm1c
WDNmtY9vkLC7dRIG1m0TEwFY0d//u6sib95sKyOJADYGktvhcx4IPijFQDZM1kJt1DVVXHoOKkeS
SXFmop3/quNXCrslHp7ZtsQKfDiU6aUKnb0pkSDkCFwVAzqXndfpxkppGXv/gzr1UHFI0TPETEgj
/dEGragrurGsKNjMEKxVbCTqtlWScy7rU6/q61GOChwgvySdFITO9ICUboEUlBeCc9C6iRX9Gj+O
c+YGzivfmxuIvoxtlCdmHfdvYIvxBna3xMhodgvy1n1KZTdQUayXihwv8LKec4yeeGT0BeDnMXFz
zeE1h4/M6OFFQmUINlOYhn7Symbt0oa4jAZvun//kZ2YcObgMp3PA0MsBvnDoTIZUGlLRLBRgjrc
NKjXi8xQJnp7qT94ufFVj710HXhE0r4/8MlrpJaBJZn+ByCrhwP3TU/OidFiwU2tjyNRhZvJwSrZ
eUW2fX+kE28lfFfaH3B80W12jD4xlZT+L20INkPNSbrVFWOlmq115t0/8v7vFxMdowl7J5y+zOFH
UzcuG3sMWRM2ErLBJUJ8vM5VC6RZEJe3SQn/e4hQCqgMZqsuGvQfUVYPWxIo1DN39sT7SpQWRVSM
RoRNHFvC2Kz0lPmjcFsYpMUpOHGXUaKDdoZCd5kowluMbV18e/8mn3iP2PlQsWVTjK/p2ERlIOVy
85to20L9uGyIxyaxV6HIFHXe1oXR/K10SPNSlfScpW/v7zj6PoFS4gDhmnFXH7swqploOClptCWh
Bah27k7FiHWdzBLoMKYgHlSpnklEoIme9m14o03Q5mu1EPSH4oxNmHldL9wa6ayK1oEBuiDi7mq8
i7ggFnYBXFPBx/JNRiVkC5Cpz2YIFn4dgxnu11VGGxko7zq/DWTs/axzwj/WcWlT6aMwTsyKp6Xo
b1WJC7pwHPQsJczcT2j5/ZNR6gid5KjAWwEMukIRbLttZ7fBUzAHwqzazNPJR25xCdE3HWlfunBs
xLJOdCzsTZSpxUrYZTShq+i5udBdaW8JJGbBqsGZv4R5FaRrr2xL/EtW8bMgXfWChb29yhMUzbBS
M4paqovnLQTR+zxxzIjxROBlXtgNbfvGZJTVoh61DK6+a8VLQ1NSk5khq78l6Qz7A1aRqAsD0Rqg
AleWrBD/xp1Vd6bqp32vQAVsBu5Ab/Q1alwfJl/2Oy/acPIPsQoqnDsdD2TtZB3tyLqj5emZ5fbE
FICLi/xkGuNma+HR4aaaxGAOthFtvT4qH1QcOGugz+d2GydHQVXg5ElHF7TEwymt7ZwSlycVTFFG
1or4NcAZpFH/O9fy9yjm0a46d0JqzK0WbQMteTJbDjsiEb/nYN1PZhCqseTSbEyU2LHHOseJE1HP
4XNOu37lutOcap1rq6ic2jPXc2K6os94Nv+y3kFdOLprFbYDM8+ymDTqNOPd9X7GWvY8jQoGYIUe
fgr0xpkh3649FJjnTmD+QXFjfzR9tcsuCGXKYluPt0kUxiuHkOkV6S8DrPrBPrP4nBqKnScceZtK
EvPT4TuRJRn1wcyLt3FSG4tBOtbKCx3rvjnvJnz7+iGLEG5FqtdMGD82SCZBVhuAkhMao9jmspmR
mDk8b/X+RH/ygiD2zf1KWD6PmbKyoQJOmkGyDcgb4NUj2UYf488o/u2vFfX/a0GVpAC22uzX/jWP
DxoRfZwf2vypqZ5ei6j//LN/Saj2H3wXxAHjOLKA0PO8/8oR1v/Ab7sHJFuseyo75L8lVBufJZMc
iQXob5wh/5ZQgdnzZyz2kw5b9NnOeNSp+V7n5tv9Dr1UzKQw/di/zfu4wze7jgIbiWeaYziq8nYs
FCbzrqPBqYaR9UhCmr01k8J5GBIx3ehDN65SJ2o3NrT3c5bWUz+Lh5RtcbugkOLkPvxZmrZK2toc
2o0T4XjxewtgN2HldcKKODd5byKahX5atuivZKmSVClp+XqwESK+iBof05lvhCogAx7sSdhmzjol
d5r+CYofhz8QQh++CFGbG7wWJoQ0FV/PYsiC9iOENeO2wBtzX07cQYSSrukWOBfqfFW76XCFYmuV
G8WkBcPXhEjv0i6Z4lUITCxZJsRPXrRSk+l6VABtoSdhXgecpqMGRQTBgHNvvOKRM6f5pJELMC0d
8FwfILrLF8WA2LGYnUd3FjgNG18zyY0daTXzHftAnkh0F1FcJV6g8CoH0BxS/cytCXqYOzlIYzhq
AfKjB1zG7n+QSw52tZquut7KnrUUOt6i1mPCYaxqqtqNpg71DWwM75uWFEbrB2w3PL8UEnC/Z1fo
Q56ZxdMiHTT11gMUrS5swZbKp1yHm04z++HC7gbLW9Df4tzI0jaLVSBxj/llIFvHN+xYj/mnQnpP
rtXLxg7Tu7zUxsfcbQMi5nDsPM3z1L3ljOngh3C4HidMl3KReZnxrQex8FhVVQPftBswoM6RcbZP
AtvwOTFNAknh0rUtrYKyfnb1JGXDCOf9C5qj/jBMBT43RRFB5Qfw5a86TwN+G+uEe95YPYa0r6hq
bEiT0NEAHNEmkqwUG0LPciLeFkpWz9n/HglHUy+irOqJVbAixb3OJpIalk5jZND6izK94NxQaVfk
1uMirAFEFktPA2i9aIWIPw29BYNw0pvkxQHiphKpFMffFboqMzhCmUoYdiM0uTTruT+tHxAEfOEa
3UOqKHW6StWS2K6O6aVexlqpdCsLM4S5Tm2PsAA74jYsZhwzUKEORuy6BkCGg4mIt+qyTto8vKHG
YahXljpxRBSePpJ6lvYFoZypAuGw7BpnnXYCtE4/QNRcNEUlfgwO8ZAXjiQcZolFfCjWleu244pi
t5JfKPSeBkuPft/BL6HAAz3iCXycebWEKfZZ/LVxkzjd2p2JLa6oNQIJXHNivZNK7kB8asLpsfVq
zV7wCk/XCZsW47KyWnxBektkwdIhcJBDrj4DkfyU27YRSVM091k6QcXCHE1Mlpmk0XNal7R79SFw
cd+kR7tbUHtwsm3kTOzCkyowLrpONAI3ZVtNmJGd5CZt2+ZFkjitLVPNiAdfy3PRLYHdErSoj4mA
rKuTMLgEJSZ/csWz81oDza5JxaqXuePmpMYmmMEcK3YjGKe9eZWbYT8sa4zun/AYDx+Agbef6RoQ
ik93Iu+dEhE3y2tsJXBLcloVl+BuWsNH1tbxGBuxflM1RAn5UzDmkHYAfid8boPxlEV4j30ZuBxj
Ip2OwlWfR0l5MSf4fXEQ86NlMQVyWjaN7G6hmyX2TmYtRZei6H28teZjTbpUvminocfQmmCQWINg
FzquCVMbQFiWhVx2eRBEC9jptetrSsTHJUzZEvWsufaN12PdXMUUi56SPpbfXU0x7iY1pOKqM7mv
Ir3Emh6M3oC7cAj4YFUywkzfrmoCR7qsRJvvFXIe8NDqFUR9F4fXQh84MvohjD91gbEHA2hWBsXH
qMjrep06vXc5qHppLZM4cbX5oBeSXqzo2b0rO+3eng2+S2+0va/M3NPz0Ks0zSYK/eFLF/i062eE
STyLrBxvST7L8QJEOYwp0ugc606H0ZT62hjpTxQmDMfXJ60Iiakc0zvs93nPu1kAT7fYoxWoz0j9
Sy+oGxPTbt9Miyq14N1p45jJbWtJ9z4K0/zFmWpnEwZmdGEMFusoXVmdSwNMD7DTG00CNFuaro2V
Idv8ijMoFOepSUO8fnnYT+uxS9JPU1Y1P0UEWHiJ1qO/VJGDB9CqHC1dC/BWylryZx4qq67jVTvF
0W0xE+x93VHMr6lWkrnmBUPKydflf6uiCwnyGppa/CD5UQaIsvFkrpzB7YLF1DQ0o2JQGB9adgvj
DjneJPbLNUSxSuI6hfBHaeaabtXCWDQiqq+DoYVhWbsFcdVFaUvCspKuD5cTD0X6qsa8ahchHz6r
nVf7GbAw058i1LgLMPWZu9CDoiBJTCTWc2KpWIpdtfsS8n2rGJ2TKfh1mPitbeq/xI4cQEjexZj8
L3QHUjZHGuF8+a83s1dPucATeLiN/fNP/bWNtf6A3IzTAh3dZDFgK/TXNtb4w+IzofUTdZPDJie/
v7axxh9snFzkcGz6CJ9scv/extp/8F9jAUC/hrLBHvd/QCDhpAt1BGMvrlH27bzzR8dpM5e9AvzL
3HjtRABj46ib3iUl6NVdufu18/tH0eZ3ZVw09X/+x5uzmatSD7eQIHBEcmKd94uvTpxSBfKBfUfZ
dFmmr4lqCpaORdLh+6McH6V5WHMhF5YWjjw6/47qxn1IA5mdecEmd3H+Y4LO9HRLP0S/Md2g++6o
bBiIVQSQ95slx3lgnuScaoWnk/87vDxLAFJ2KrLApQoRtSbW/lLrjIz1Km43let1y1rN1Pv3r3be
1L/eY+8HpUKBSE6NGuzB4aAKSeMmnXvKhupU9EFxCCQarcrcATzorlE3mjPPcC5EHI2HtQXvKdoc
s9TxIYMNzTiFk6tgcoEm14n6B2jNT1lN7qCbfcgDTazzpN9BLj6jze09Escjg46ifKDNlo1jBYIF
PjBDKIbblFDZ7+pQkQopNLZLjWWuYcJFq6FQvbVqhJIJMlPx1pXe02DKj10bVU89W95zVagTNx/x
bm630+ZeQuvoVZMtjVRaY4RbLewTvpgCvQcG0kUZpsO670g2OlOzOf6CeNoQgtBp94daJMPDp207
UaRUUAy3oXRZ6+ANLsosT84849Oj2HTognqwGe1wFNeVRQ6INtyaYwRZU1OrJT5+68zncuLmcdOQ
IuYIIBPG8OEomoH0Z9HBtbXzgG1EYrKZrqIyvIpsK6dNIsUe+f63cuK6LJWZgUFNjsjH4oQ6WhjM
zJoR6c+4bTTQmmmsOY/vj3JcG+IZMfXM5mZ6wCj3H929LPYGl/1tvFWytFypUWjdjIqub/Q2PeeN
OTHVccBGaNTBqmHkO/74K61301SlhMdR/gFipLsVnjqsjKgCTz3WFvKuJa0zreKwFHg0h58i6jiw
eeB5lMWxWh8+ulYfDFMaSHMAdIvqRqe18TrBIJQtVL1SXjQgr9aqt7wmWAlNLX4olIuUS2i3yQ4e
Si5XnRs2D5UXp9lyGqUOqcNMA4DhRTBvZkhoxoroKeWHZrJb2sVq6N7Lli476AF2Yl6LyDHEInPN
3rxMiPneFdT1+3VietYDtcESMr1tV/aKHETzYysKMtU434Yf5h9brBqrFbXvaJGj+sHQec9dSTlk
oReil77XSlfirasqgls8I/jZY3iQvuWEY3ejCzORvhrQuLhsZU2mEo1Z/5e989iOHEmy9rvMHn2g
xeLfhCDIJJPMJFNvcLIyqwA4tBZPP5+zZqYZCExgotZ/d5/e1ClauMPd3MS1e6Pcj3LTfTBnXXxU
rcj5lLUxPy9EIHY+EBiWTF8hz+4dzFSOvWlzNFaAialTHjKdtOlGtA5avIbblM9kr028dya0cfZh
HoBTDTtTUxDPazsAPmpbCpoDxuxEX8zcBEsGRacR+gLC08kXZqSbgCiDzDpmZqk8OYpBT8WqVNR7
I8SfUbXjiZp3ljaY4R7XVorD6HnwmXv4yb3T9yN0qGZL9jdn5GLJPEBya5ipau/VKYogG3HseW/p
g/7s0n7+5v1dDnCs5lf3d5HgtWCA8tH0VbFgp2fWiJbInu0kWxllpaEsVAYLXssPw+xpKAzLokTg
6coHCMqKn5DZKLBMG8X0qZOVjACNvQNJm/7bYeQRmqLXokfAFBizSK/FEMuMqYsIggGmXIrxXfZa
OEG5kSJKNPFt96B/1ScI7OkQRbqFsHcQWuhC21RydpE160CTZIFGl6UaDVxz5/MtlH4PLzgkxYMs
7ECaXs4PXfRAAm7CDJVq002XBSkEJLIyVEQZSVbf5VSM4tfqkSoLSSMVJUHatEvAbt16bWnYN2pj
KE+izqlCpV1S/XZfS1Na4jL6mGXmzy4c809WnJZMSJJF0jh6rW7FuaDS1b5WvXIKV+9CiEhRhEvE
FB+JaZIPNXDvbAf3IZUzt+/GB1j0kUuuX2trQ1dTZytkya2RxbdJluHaykK/KktjqnMIaJIVRK8Z
QpO33xhaGqEvlwmE8ZpLAHYgr0CDsxTHWKTjbdq2To+YIVAaeOM1ZhHzzM7tPfghQzlOFPa+OWGg
fiX/UB9DLUAbHGWkKjwqreBGjkbbvodMk92zGMNUD8bcWX+Uroowc6wpLmruUdJHe0OYsAGTnVqM
MhZZsqfv6iEwAbnIFyWwYAuzLDEGOyMrtXvXrWFq7dFMeIyQpLh3aYw6wEgnUN6BOcXNvWhU9z0l
OE05AmkF+GzBe/qXNgjtU6RNbX2LXKOJtG9fZ/Fx0vRY/GVHs/0lSgZdQvc9/v7lB2MlstGIqUBQ
EDxCKrjsxFQ9w3FZYUa3IzKhP2zVHiRXde7d0JiybpChqFlcrT+4CuOD1CSjGyiolcPsFPMtkLb6
VrVR8b78o87jPOBgwOEsiRoAMyOfnjexum601KWY0Lt1CTfuwyCqv8W2EX7C/XafozZRbsteYSCg
JNzpOVAb0d75IyrfM5OZOZqIcKQtzFdKFVixZsa3atV090iZzHsEPvTHGE74jebUeVSAKdDGDkMz
QKyWKCRqmWpb6OiTj/n4G29RwdHQZP7l7VwzYhI3Q4QDLoKg6nQ7VasVjLKyHree8w8K5O67EuV2
WiOknf8/C/+P/5qtk422/z0Pf45/dhcG8+S//N/puPcv+bHB6TvkouRrb9NxKVzIbIhlk6q+Scet
f5mcRtJ0gm/QQrJ93sgu1v/7D0X9F2k6bVvI3sB70YMhLbqiq3R6WCC0kojnV/C7pP8BoH56WOy8
13KbkVEIDSoVEGZl7plHyW/e7M1KNn56xf62ItlPmPsjdSHtP7UCw1TJqPxs+UxfwSkAjmM/6PVv
VOWuw/T/bQnOODBidGbhypXrfeNLhqzSsnxydN/J9N8MZAVfC6cp9mIO3Q16R5kz/Dsw/duSS7mG
xhNhOEJPp5YqqHB0DwpHPyrAXaQQkh1Gy6FOmonpBRkS+54YsnpAjGM6Xr+bsvVGLgOFDU3BU8tl
14geyKxB6GinN5MbQqw8ZfmhE21wuGxKfv6zRTJKIIXI8ClLeOzo6rPRqZiKBi15P3mDCrtWVH+O
lCp9Z8998uuyvZXjKOXxZEGLY09aeLq0dh5QL7Iqw3cNpT3YPT066q5b9OSvr9xiWehYgYUlN+P+
uYukognHPtCNUgd/B9Boj/Bz9sfgtQRxk1sxkcEESE30pQGUG/JI2SVjUH5Ro1hHcCW2IBykUG49
zkgafbVgODF3ENONz7Iah2JRlulUd6nPPlRDVP2hBbr7C/kS8ozJVItiN+qJ1T1ZKTIMGw/pyjVj
WUwVSKIh7vKiCWoZQW+iI6H7Sja2Pqz56IsEanhvQfC1EUisfSgCCXmhYV07Q3JPnnAddx50P1C6
9MZLp/bWVhL17vJxWFsQVEb0TiV9Ekfw9Dg4OrLH9GxMP27Q0ehCZujBDKc71E3FxtO8akp6QNnT
JmtfHglg3lmslZQlUVJCrSih0YXmmD94w+PlRa1tHUPDGDIptDKtfbqoqK/rMQA75qeFPb+rzJiG
X6plG8W6tfWAioK3EJAkFV8ZdL1xhCLJIiIQxfBhd2GoY3A4kypS78SUyoYnXASVr66QzJx3DLJO
KhLWwiFNTdcMHr1/XxR2ezMMtnds50k7mqHWHHVtzO+VxCge7GYWn0RRT09lNBT0BPGMimHNgAJT
83B5k1ccl2S1p/qCE/HOMcSKN4UBc3o+qOH4ybRG+3uqVOMtLxHzrbPSPvwTe5TJuRN45OV253oK
RCCMLUS7PHVP4PXYOQo6Wwijizj+fdnY2gki1+b7UUxngYv99jqvU4iILT9yu+KmCSLjuRWk1pet
rJ0gCqCAYeQoCxfj9ATFNJXnEKyYH1t19tjPtErLpk5vlT7UNkytLAgMDYEI4FlJpb+ID0Iv78up
x5STtrafKSlnBzDtRmAsA/mF1+dvI8aI40JtYzlywSRuaikj3iRPYIUpnGE8mlHMtDDEI3cFyNV7
YOD98fIurl0OhiiJ/wjn5FlcOBZLAOop6oRldQNKUiWyL/syjNVDE8DrAt/V+Njx05rd4Ngjrs0I
nZeyStyUQWS0C3cjvDk/VTLm75d/2MrnpagL6lIKsVN8XRyiwqJEQhJI5Ke3wzEoo/IlsxXTj5yo
2tqDldvo4YRAQTFOagNvPD1KY1HPAFfYAzqkVHwCVSS/mmrO7L0LgbKyz7Ta+jIw7foLFbuEl7ak
Q4kc3AgFjN590CHtNnYqsrV3I8JwlHCGyfkmNChwNp41uejlEeHBwWlyTMDcySP0xmtGBQLfxcSc
MnJzCfpNVC7SA1PS0XtVC4ZiVztV95ykY3lAYcK4PkoG+azCkfE6lOotLlwVtJVQnNLx+1ZvmBQt
Bzi3bPtGMeatUeW1C/fWlPxgb9bZ9H0L1JrWNlUk6m3zqO+00CwOl4/YmhXgag4dFDkMJDlJ3lqJ
YRsyci2yfQd0xa2ppd6dLnRvI+pZtSI7IxDIy8O1cB6xN+SNm/LNvMyc7hpDfJvAC234ji0ji9AK
rmkHRNto++hhmTeqNb6os3tdjf31HSVnoTagqlS4YPg/3S9jor9uqo3tJ0P7gPsPdkAfHqYWzcpw
iMEe/zfk8/8qByHTP15tvBP/z6jNsqqvo0tZ1znpHxju+Os0l8nDELuM5l0+CGu+RraWwVAC0aeS
f7qwXImYTYpTzMQOEDMGUXfVHCg3kbo5EnVuCi4bOd6qySFyYsZTU4w7ZoihcebymFiEH4S6LGOa
u3nOfl+7KCwR7tAxl1N1y3PHsMA4ZoliwZeHqKGdK8ph0irn0FYobF42de4/JUEPTEuvH4zxztNF
pYY2i5F5KX8a7OYzAj3OPpq14EDaod8Aaoyvjruxx9HAEdJ8pTywsFfU7sxLDL1AorbPvB32gRLa
8NhX5hZ08/xikUKwe4xd0bCnN3dqyiFxzdKs4GiINKIEVypgcwp1YwNXrcBmBNchNRWAtAsrc6nW
zcyCRJhMt52aoTk6DOlGJVEe49PXg4oqKHeot6iWMlB6akUI5jYBzdq+Bhsik6uOum+HsPdzEQ83
6dAb+2GEDrCpB/120EChXn9KaKDJQSQ54bV80Z1W0Q3GaPFR6aDt6VNR1W+66n0QB1CaTkmwFfef
B1Qet4yOtIQhQC612FWggkVBMmX5gB8dZv9b8dMLFB1crJvcKaaiPEawmu8Zymr2QdKOx0Gtqwfd
q7tk58Vh8rtGcFc7zPrkfhx5ax+HuR7v1XFsni/vzOsI1uLLSH8gmUGImenLnn4ZDakf12sHy+ed
an46Xieeoc/o7D2dDq3YDXA6xjQUjZSOV9QJYwf5DxCyoEYm79B2nv3bmRpSwss/a+VUapCiSBYP
k+LYsvCdpA3gAzIgX9cRsPbsMjjQCNmal1/xiLRQKfMxfEFUYy0uM7DKtnXTyPIbtoET6I30H01t
r7dtvnEC10zh3fGIvF7s9MJUHxXMN/HK+FABOOWOgC2/82ZvfongEtl4kVdtyXBSSn0R0C/i1zjJ
SEiRdfWjwJj3sHqmD/HA21nG4/xPloW4BgVXJrYJ5E9PD2PntYM2uO1XtToeCgs8dFIRpznUWTaO
xHkAikQT/gn8FvEMTeRTU7UjvEY3akKm1pne6+GgH/QgRPwQjqTPppmXt1VmQFRVbjqvtcNIE4aw
gtIpudjCMnp0AZLYxOizGVvHuqgyKY5+pawQ7xc1Fm6hClUd2dBS7DAtnSyeAJ74Wj8Px2po4CiS
3JXXXywT0ACABQYUz4iASGG6qEqBJKS1iJ9qeCLeK+CjXq63QitHDrqCtGNi5PRbDW5kovOumj6M
oMk9IwfxwU7UesPLnn0XB8CVPAvU+xlnWnImQPPQuQDoM99TrPApa5nVIqW7OlSXVpi5piflUHBb
Yq0SNRqghEozSgp6u9O9LN+XdIQ3MpxzP+wQTGBEA6Aoy9cLPzw5XWBbZZ35sR0W3t7TwilGsbpG
eHq0+ug5cEvb2JGkO/0RuOn8RU1rgkUlbXR7T30zv0eiGErlyx/yzJXwqwB6yRqjRDdaixjEo8hh
TnguECxTfTvUza8KmeN386BuBcJngRzHheieVotBpuIshUVpGgjgW1bmI3NFy5dObbQTArroUbTz
jz5NthK986VJl89XtanNoQy0eKKV1sj1wJwLv+q09HE0oOex2NLb3Gvaa73k6zQyjFGUpGA7XYYf
g+7xbWdR+J0dR0d7Ynh1xwCBoIwv8o1LsbYs/AgBnSEZxZZfrArrHjmguPBnFwWeye5ioDYZWk88
qYdrD4csPv/blH56yzNFmUE5IsxbzTkAaZ3ygzNAqqaM6nUwNfI/uYNMU8mLwTlckmSi0E6pyK4L
P7FShEktRoC1HrhEqzA0kTjTxgc79yzSnFQxoiLDq7Z4Qc0mIyxGTc4XrZgBK4CN4q1uNsrdS5ms
/1rVv80s3GSHhDAq6Hyr0aujQzOI4Kc7TojGm6AnU8qk8PEY3rALbTG98/q8/TFkoD+u/4pUnwhK
iLc0ipqnX3FKtE6hCsyBgcn5KZ1i3Z8Utb+tTe06/o+/vyKzrgCvqeOAK5Db/qa2ApklaOEgkc+n
+JAYMJ1oNaLn/eh6G+703JvQEuFSo0xkEn4vm52VSnxAHpL6c2VXDBkFwHzmBvVljTZkUP6+fgst
skFUYgmhkaE6XZfX5qQ2TKX5Sm/pBzWetFsVhPZt2+vR8bKpsyiI9bw1Ja//my1M2tAJGLKXz0QX
R4eyiphM0rsu/tB6FvxpJaUxr2yK8VBrXvHHZeNruwoeFfZkgnKg6gvjjlZ7euaGmd92Q/iJMKz+
C7n69oYRovFeE7298RVXF0uMgs4PzzxKcqeLnRURIqvGvpapWhwUr8ruACfWHxpPDf+MVWV+Mrq+
f1fGrbWRr57lb3KbKfzQXuNI2q9kPm+2mRklMXYKJ7X2OudBmfQyRgElh9KdTu+XvMgYIhsHSP8v
b/Ca32GC1bFJGwFYyznbt193zhUrskCr+1PEiLbpBCHRrpg2tnVtcfDSkZ9STGN9i5evLgvS3szB
CltwMBrL/jThHJ41ZvuI0xoNjRK3u1ID9NXZ0VKmN084QbNhsTb4VK2u6O3U1xRvvqkpHx9rtek/
Xd7Bxfzt3z6GwXPaM0w30FZYnJk0MYWhJywuF33zUx9ce4YFoo2nHY9VGuzdIW//GPts+KJ24t4R
w/DYokih7KiBxFuzFmsXxnsdG0ETTztDQnBh1CqO3NQfgO19tholvU08qwY5VjRf9Uzo/sbqDQ7I
STYvOxZ02giHgTfxiJ0eIGhMMxBOIvULMRWj76X26O2ZJ40d3yhTsz0qwhNix4wnnPkiqsN6h+KL
mx8yu570PTXPTr0rCwPelFKUW6/4yvEGOg/ntJzOkA/r6a8j4iIrmTp+HdpT71TRlI9mXmxtwpoV
Gv0034nY5TzNqZUwgRUkRhPAp3n005yn7KY3lHjjDq0bYXCdsQ6mSpdLMRJGJKxCx+WXCTBj2N31
d+QPQbHh76VLXX5Q2PwgJpLBKoia08UUKEjokPFmfqI2KZODk36fxLq3a+Iquds4PHL7z2xJDDsR
P92vJXWqCk7ZiZoh840pUZ9KI7LQY6nb4mZAsfVTN1XGV12RtHS9sPBLitbdZAUI0cs/Y3VnAfHg
78EBnmV145SXrim4wEyYBkclzMP3RaT0H6+3QjeVwJ9ohGr4IurB56cTICUcPP3VPdIb5U1uOFvV
6bW1MA8EaRp1LJnenH49UAFNboAn9uM+ix6t0AgmsBrD0Owur2YleySmckkcaVlSm17yjVZVpWhC
UXMfCHC3L10mMUXQFiA11Cp6DnW4tDK3cj+Mk9Uem6htHsOxJMPy4NSKd03vXN23xhFBC0G3gRkw
qFQW59ZsKndISkLbRoFVijnK4ZjEifkPbiF/XkaTtDaoNJzu72gxYeCQi/pq39YHRSfPGXLoBzZ2
V3rN5cWgAARRvkTCWsvcdDaSYujCNvdrp3uYnGzaKxDWFvnwooftJ6Vt7rvefFcY1u08MXReG+I6
vv7XVw0SH64DLzKh0NKniWZsDKbPc98wsvbYzyRBbaRssUSvORvOEdz2DlgoWKxOtzOb3U5l/Df3
mZkZbkoGNB7Lig5OYYstUNHazZBqbOB9X3P+xf2z9FFQN6pzXwylvQMWT5U8CreqrisBJLglYGxU
VuX7uwgGar2bxAQVr2+4XZPujEGvHirNHPVDXupjeJAYAHc/Fc3MJ52s/M/LB2d1kS5ZAf4b+0sw
HV40sfM4J40kRN2VfVw/lKiubDz6q1/tjZXFe4ecH8QhJslqZRb9zazp4xElJZhLu3HrAV+JHCV9
Kqql8ELTFV2YMrKcmNVMC1/HY8C/XrXQIjjMbzRl4KIH5Bov3JOtIvNaTAd8iudT4n4N+PNOz2U6
GckcJwqfsambAp53s/vJQa0KQFJEx0BEjO+5C1/frujT+Qu8Lt6PiTobcMVO1ap/8HSQWVLYlCO7
Zx2zVjSJwqfkq4q028d0z/pdZzmtveHU104P7VODsyNxU+7CuXlRMrejM0CXVsFGmqLYCXMH2uSX
z+jaJ8WpwA4jGfrAhZ3urRGpFXg4ymDZxGh6CGuC4ikwctRf22Rgsj0ev1w2uP4131hcHCK+dKI4
Rg+xjMi0Dx2DwscgM6p95TX2JyULYcyLB/UuLZXhuxlR4CnmfvJbt3U2lr62wRT/IIqHi4j/LKo8
+Aw4CBSup0kafRhQ1dtZTbWFt1u1Qv2YUJS8+SyeCZCxskuNw0ttekQCIvmuQsL1D3wALdz/MSJ/
xJt81QZzYwtIYHxLj4PjYE7NXiPPu60drdpIjVfXI1nNMSflcRamQIPGsa3hbiC78T5TwkrgEAnE
hus8B4cRQPDg/o+ZxekPTVg7tJRb1nfDT22mH+nqL56KYoXaHCslfGib7ika212gt4+pMSB5+Vdh
b9UB1nwrDGOUUSGGk8jyxb6S+dsMVRHGTENwLzyElLU+Kd91oIQ29lX+qWWQIWvgoPxAjNKkPjWl
doWlQDWQ+anR/qUavbITao8c6/hFVJHYOPprtx4SBKi3GFYnyF4cfc0e3TyCOQem06oR6KQUSnU3
KA68A3M+FM9FETQzFJDEcLeXr//ajhKogtBEXMClRXm6TKfu3bYuJ1nAmmekDEadIf0pPIaDOmxc
irVFypefaWPGXjmsp6aiNtVLkwkyX0/i8vtUl8Zfw1wwygo3T+SbQPzMHXD95p+skHnq1y4lfnVh
drIZQEgtkftjELcfG3MwjmlbFPvJmLbIDtbuogS+gOmRyDzJvvb22geVo0cAbHOfIcBwZ+ShcmPN
qXV9S4FITefltyV03lk47Dry2n7Um9xPekLtfhyjfdx39bHJlC296LVPRpuE0ruNPYLQ0wWhatem
BRI8ADWqnOGBBH6owxDOzTHsmRnYTWg4iJ1AhXajFr+yk7yzsm4EHlX2Yk8Nq0kVwTeGxCcj0DwI
kz5RKTLnu8uHf2V5RLyv6TzSW4Qyp1ZyDbE5BbCt3415c9eMM6qOYVLVn6vcKr4y++xFN7VqbWnb
r9w5erCGDvM4+csZyHSwGDZ1Ei312wn8sEM53Hdr29jDOXUdvelrooIpsj4OikTcLF4HBnLtlPgs
9Ufdiu4gp85uC0bxN272ytdiHhJAkSfxbKBWTvcx0220J2usCDSN9n1iWPvaybdYNtatyHkECWaj
Z3FqxezGmpRTWgEV8gtofLZHtc/56/KZWPs4dLRwhmTJ0iGfWhEdCk2tQl00yDzxQoPXNXapXnd3
qTKFG6HryvkjCiHYIZdFT2x5kycClG4Y4tTvraZ8gDiN3K7gS95UXh8cW40MCOk7KIuuXqItoeVg
UqCCobB9usTB0XldoRnwEfEd9o0oxT43oCAujXE4XDa11lNjNld+MTqFdA4WR6My8rzpISAlatb+
ULSIB620f/Z5/c0dIDObaaw9antzw0WuHBWJ9HKoRejSdS0uNnwFseimkaJV3js3MzSAR9uonetD
BLA2zAGAEWH0YAl29JBbVml7pn7szExazQVUAt58Fw+UlSCC+Ad3WVJzvqIfPLp1i7RLUVGkAHqV
+ioV4VvG9JN7w06GayccGER5a2Vx/gdkpl2TORe6jmG3s/WoQLa4ajc8xsotk75PPi1QPNH4OD2C
vT3y07WUW9YF/d4GbY/E9oC4cQhl1+UjuHYW3ppanAVUkcussXK8bUl+mDRTuYutrjlca4UrzPQO
/VRqFOcLmvJYyisaTBZBRKeElfMlN0b31/VWECCkWi9LGAjLn25b2bdROA2N7ocZH0fMRgPrACIy
l62sXFo6XsyLymlRABnLEbO8RlB+UGLkFFUTFoPpg53mN9AAtAgrl36ii/eOmdw2duYznrgRCr96
n9PA2wZGRIQvBZS4ugvvpIRRAeSKebDYtaJ9F5n9XWy04REO7emhykb3wCesYtRPZlSL0wh58rwK
dkwwtt/d3nSO2dTUdxDLaHfeZM3vkQzO3wVZElrXf3Ib9DG1OZ48Gwjc6cfQzY70IOSHup3X3mZZ
Mh6zOWo3YpTX0vfpflBoAc3HdniMJi8JwlxPhB114cofK6sKGZAbQ2MXZm75q4UY/qUSvfZl0ILi
oTZDM99FYZZHB+ig09qHKo+KUIuq3LBrRdfVByPpICW1BgP59qEMlQkafuSc38E1PMJIEiuFu4v6
IlF3Zqsn9a2JZnh4hP7E6XYQ5k1PXQ95z16UhZDzYmr1My6m4q8ZPlkbStKgfRcqI381M7UA0vfB
rKd9VOcRooI0OpI9U0yJu5/TnOQxF3VybAoj+TU4zKHBdxu0TxG5UH28fJ5f06fFFsqJP04U0Ql4
pkVc3hHOddSsKN3MxvyXMbWWPyZSxjzUtOxrUSb6r0iSKB4ByXctjIVtGB5MPZ/+bLpee0C2IX5S
0Tn8CbrLu9VpUeyGYZ4/BQm96gNhRNgfHG1IxcERPKQ7NWUyfVdpdfcrZqzyo1HNlWxY89Tug75w
YoQrPeO7jgj5p8tLPfer4Jl4kGREIedzFs7OVAojDgOP4uOkOvdNBGlG3vfRjSolsy+bOvermOJM
EkVImOTSF1mtNQc5Z8t3jArp7g6ls7rP6o03dt0KdX4GUaVe1OI5SmHGK8daKXw7bUufJkf7GAWb
nGWrVuCAJNFhmAqmutOr7PW9PpqxW/gIlnoPEzQIN8ANgg1lo9WPI8UoTCqvqA8tEjdDlKpXz6wl
T6iqFUUe7fs5n9Hb7LfYys4jSz4ORQseI1BTwNxOF5TCVlZ1c1H6cZvW7/tR1V4Q9OuOoTVMfq0F
xh5Otvzj5RMhX5+zawZvDZ0f3kCAPqdGy6yadHAMpd8Po/5iE67cNk0RPiJMANeqqjQ3XUF3z3MU
ayPHX3k0SBVfXwswP+jiLG545TmNArMrlfAgTctbyHlRh9WE5XwQ0Iw8q7GXAZ5vq+abaQXWd6P2
TNScRwUhHRzgy9CrLZdSFOq3lt6dvSvVqPlQDeguQpNbFvaGR5I/Z7lTyOlJKBSh41kGiDuNRsgu
CgBXI6jRzAvSfqfl7WdqS+nNUKbjj8ufZsvgwi/AjRroKNAUvuokH7s+t55CVO+fVSuZHsPgajIG
ejyviEfmmTmF+qJsUOqBVdcdy4uSvH1mYLf7aELd8alXu2OQDt3G11+7vcz+ctplBxnuktNzp80m
fMMRTs/ti+BrAxoKoum434i91m4v4R1lUI87zHTOqRVVTJCcwzXma/TfjjEkZy/JaDTv0ScMv13/
tZhGZDYGSn7yikVkEcSlST/fxRSjlb+92s1vlQiCdLSSXB+14Wyj2rK2NJpiDIRTAgRqtXBMXhVX
UxVWhV9mdvq+DBx9D+OJcdRUNM4uL22l3SD5XOV8GNYkKuR0G5U46CFBo14d0QnoDomIXXunGANk
6h2DEozMuvVA01bYxoue2yjxuANoZHiLEQ4qdK3fkipf/UWABImvYIJgaEIerzfF+ohBoKTN6KJl
Rt/AgZdZBczCiiV8iOL67Kg6lbKHRS7Id63C/OlgVNmfbjmj4Rwycffl8gat3VRCIUmciSc7C/eU
bBqmLslKH01zyObsMPxkRWp6QC1YPypaOm8QF67aoxnKPNFra2txecQ8V0Gvc1drypWgEtAl2uea
XRyyPrXfTQy7i4304twi4QJH22XKmkLL8hmMpnmcvFyebghz4Sj3wIKZ8a/Onj53U76lebVmjWIz
eQT1FUCSi7uEJFzUIi9U+RDl5WLv1KN1gITU+W0pift5FIr94fIHPL9MTEbLNiGz0UyrL/OXMihK
dlLUdEcV82g2avPclEN9iBiw+3zZ1NramLZAVAhCZIZjF6mSbTQmXt0q/RLY00uQjm2CMKVqQhXI
k3vnJKLeEtQ497WMqYBoAy0GScyZkm5Vz44aV3w8SFTiozWayWFGYHXjiMiPcvo+YgUPQU+Lajor
O72S5B+qE4mx9PVWa993Y6WKXTMP2XdlGKefbhdG9+Q00V5Xaz3YBYYhNj7i2jJlGcThEzJjskR+
5laW9j19SFgsA2cfwKB4qL0kujq4Bdb1xsri7jk2FCtCKSof1j+o9M3YOIgx2aLSO48FscJgO59N
NyRz9ulmjuYc19U4cgOMStwlk6597bTYPA5WXXycFK1G/SwPxg2/Ij/R8hNC+CG7khoQhSW+NBqY
u1PSvPLDoqiqXduEw8dCGbNvJD39D1sE0TEA3pLtLEY9DpfvxdoVfGt7sa+FERqJ2WaVn7VB+q5o
LOXYQe31xWs36YVWl0lmQixHHAcM4XRznS5Bdaa3S9+Cajo7Fkmp7UetMQ+5ptAgMV2UMbrUTHyn
z+bby8tc/bDAv6mX8L8zDgi7B4tshKJigty6ywz1z7BEO2GcWsb/xA1qKz8v21u9FG/sLW5l1zne
HFfYs4OyO5guIN5ER7nhH1ihqMLMkSQMXj7HCI7wX4eP1/c1sng1IXjHO3tz2craEQG+CSkTH40J
p0WC5MQzM7SlWfooAoS39O3waKHWv9RULF8um1rbtremFtFwp0DbmtkcETRRBPoaADy6fVaZwafL
dtaOAyhXUkteVvmZTo+iZtUO0KOu8idHUQ+tiLLveRgG4y4OuvlJd3vtqKISlG5ctrVHiIAFYC8Q
AYLWxfIUpLhFZuLE1KKafindlFL+TF0qS3bl+Eo9Iel8eaFr3444hAaazVgVYdLpQkPNHtJe54SA
io9ujby2bs0iHO/1RreeL5tayATLBprsjIMo5img8r4cnXRiBJsCKhB+hWLwndc73eexczJfU/vm
IU8DL9zPkw68gymQg9cmztPIUPl+Nr32HehQ53M+xv2TNURbGtorp0oygeogWR3JFbDw6p0ap3TJ
QOxl2Wj/zKexC5G6UfJoY7NXisHEasDYZUBKqrbcbUft8F/mmPtK0nnPWmnHx9qNq3tTrYIHkAPu
l6SpxI052q4Pvs77Yk1K7Gz8ipVPTiHDArLP0DYjC/rikxvGBLIVwKWdAuaMUExAsSSM4p0SOOPV
2RALfmNrkQ3lgS2cItbY2cFAYtxLbILUttjPtTUfLx+v1WXJ3hGFZAhdvUUAh5BX4yRRU/hTSgm5
ttrmTg/j4HMQlWJjVWvnRUKeZOolMf+LVcVMjDpxhtpn1Qn7dnSK8VuOQszGfdmyIv/5m1zKQE8p
nZl1QDObIT3dCYrnkS761T0qJn85i5KMFMDq65F9Y2WcnQRudKxYTj/sKjcwjp1TDhsP0drJR18E
aAw+H3I6c/HeIddA70jn0Jl992mylPqjTnubLk+06+zhXVUPN4MGl7hmK/sZZP7G876yl1LehBIy
pU+4lxdfrG6yemqhE/SVtI8bOUkv2dK7covVeMWBExoyoiETFmqsCztDO5W2JC73gXRFvufO1TFt
UAcDM27cBXXabhz6tXUBRqc87eJQcCynZ2ToKZtDNJGD2NaSn6Pw1Gd1mp3D5au1ZUVevTdnBD56
p67tAB76PiiP3VD2+zar/7reCL0+mPqpPMlO86mRLh0Vqwid3NerQH/I1d4+chi22FrWlkKXHmcP
rJ7O/cJLVNnQizTH1WtWFt/3aRs9WN1ov1xey0oNFXSWwTchtcPDLrntgnm24xkFXOrDuvZHIkT/
TdNT70cyOs2tI/J4r+SeKI9OlMX7KezdeT/Rgdo1YTBZNCMT917tp+InXYD2qwcA8lgHjbjRuyzd
8GVrJxbaaKgGaOnIBPh02wOzd6xBZJTrPeMeBbJwX+bjo65334qG8OPyvqztPuTUmqxog8o9e/+s
XIDNA5ZK66q8z0LbfCeF5YrrXzgq9YRvcnoJ6ZTFRzZtpy+jnqF0LY+mH0OtmHtCjuQQUbveSM3W
VkR+TeWFONFGFvN0+zwPZbYGRnkf4ZjsBxNG2l3GwOzGNZd/ZZEA4joxAEKcDtGSTlDJLERYUoNT
2+rKQzDU1mHIeuMx69xww1OvLohQiGoLcDgSsdMFVaim0RTFlFkV2SEbsvkwJ5th50pRQn4dJskI
vOiMy1P5xqNEATLdUeDlDLK5w2H04n0P807ZBE+2U/9JMi92dOUN1NbS66EfFCY5AjDjMA/C831q
2mPMWINqMPfLBlqmWuv1HwoksxseYHUb31hZeLNwViIU4FhgOloi2lWxGd+bIgs3ehGr+0gwCc8e
2R2P2+li8moiyCzhKYgQFwGLoU71bkjL8CaOuvGDqUTRo0136l3q9USZpt25GydTvtuLkynpGOgV
sKM0ixZXrbU7xPcixsCgMPLeFyEanL2qqB+nerDf5zFkxK5TOD7/shdef8tpP0uZGOawKBgsTEex
k0aNAhi19Rw0Yhg9+5Zpo/WjYH78er+FdwTCDNKW5vcyc6kVq6paJQYh6tnqMe704lEVuv35sneU
P3i5l2+sLGdBmjCJDC0B8pq5BmqngAMelU5rkFNHw+ZmHmOUFfvOSTY+4cpRJd6X/Xxaw2zm4qh6
Xdw3ScXissFqdwZDIPUumaJpi2ZzxYmR/aHsRbdWDibKf/7mzpelWrgjXSy/a4tjOpXm0R3E17Iq
xn+wIPg0ZBuLiBaDp4Y0NCA5GxiKo9y7j5rqCVkcZyNuXlsNqCGDfjBNUmT3To24xBBxNzMla6jc
rLbsnmyU3A9ZJ6bf1x8Lgjt42HmdoWtchM5FP/UMqWpYqvr/5Oy8muNG0nT9Vzb6HnPgTcT2XAAo
wyqKpCivG4Sk1sC7hMev3wecPntUqAriaDr6Ro4JJNJ85jVe0MFJ8jQ8bnZp17adlyl24QJ5r8a7
14e9tSyIXBYYqAM/YO0oYapyx9ESL4oWo+na+MYD48i3JDpujQKxiuNr4eZdgZOz2UlzyQLIbiQ5
muyaOuxjazMguD0KkAfCHHA/a3WOrAMLpNVtfrDRmHCtuiufBi1MN2p6Nw7jxbgOcSZOQsC7y5//
ssBbM6sq8C6M4mQ9ygqtbOzIVu3PYdqVXhjV9gfUnFLPiPDfde06UTbu7htrEhKZig4b3RlyutVO
lsSskM6DZp9naAd5B1MOKZLxPNXdsHH43pjRi6FWYUJpOImWRPBGYQhavi2sbxoX+n80CJgwldsN
0vTyEL9MaIfHVNbSx0JsM6uBrzffejk0fz81BAJI6QtkGMLp6/ZEpeDci284KZsc1Qdn4PJQSBE2
zqRbnwaHikWIEO4wTabLV9FyDXURvI8OTRYWJUKIreT1Rtbex0IaPvz2zuUuXpjuiyw5vaXLsWKt
1hvEGRfqRE3H01mIb3JY/X6Ew6UNQmBBxqC1sTplawnWCTgUFtuQ2Jar6HV2SCd5/v76y7zgi1e3
IgBNcnegmjZ38Gqlya2OR1TcE/sm7fTUB06qs95sM/gg0qELzjriSQ3gxbRv/Tg1xNHpmrrepVHU
nS0k6NtjtHgZ70O8vM5plZn9XhPguP6DtcpRaRkwESi1r3H7VUMTuxyC/DCP4fcpiZUHW4nzjSbX
jRMG9CIVJ3BIi1XG6oTJGxmcqsbN5nRa5BYjXPjQ6j8aRvs2UrV7Lenf9C1Sbqkyb6DAb63fRSEO
iSP4Ylf9kQFydo/DNvu9Miyf9E3ehW0Jxr5Os42tcvMlXwD19IEW3Pnl8kVWYK4UEwJXYODwnaG9
2FhibznB59macXUdkcbRvuBktbFtboAX0OKiTE0Xg4QY9tjlwG0XhDVuh/kBV5x0D+qit7zaCOcv
Wq027/C6FtY7G1WVNzBd+nEXw+YRu04bY9qmamJmG6nlzSnn4gWzQnkHEfvLx8l7SYqj1MmRaQbW
ATgWwzh8R/GOB5CjbizfG2UA7gtKp/CtSPrWfO5YL9Pa0gimlVg2fMyBiEDDugcdq1MbsPDK/E82
zLJflsoDufqaHILZqjpnA2t5pP2MnJtk9H4eyFq78Wa3biqqAfTA8Dq2QVleTiOMtU6aJDs/9IpT
oHbfz54NsHOjjHJ7FBjiKLrS0F/zF/Su0ngdUNxlDPdPMqrqPkzGLevhW0ti2YSEz9zwqHJdvktq
NjTzew1ZyMZJ/ior9CccJwy/ZsEg/37Ks3Tr/3eo1bTpcxOVasvqK3HD9bO4Cg+2nlrPr5/ut6Zt
SeIWGjiA1DVrx8ilrqJszMfpGscf6goHciDT+/9gFOK+JUznv3WNWw5sjM8N3oUsMv0LObPANUtb
+/n6KLe2EIkUrEj+hyWxOpwpm0Qz13F+AAT0FXbms9I3jpcJqXeTcQvVcSNXhBtGLc1YwrAr0V34
F7KdIZxxmPrmIbKxTpByc3q7dODewcsAsKJtKU3fWnxLr4Cjke8FAvxy8eVDZUlg+YoDOVftoXVk
uFWk4NYJZHtjz956O0oagAOxz6Ant4qWIiXt61BSuW3irnsXK6LI3FY1wl0TzMGnFiekHbIlW7vr
ajGyBOFXOSQjjMxpcfmCc9KP0WA1xdHCnfNRS3ML82NrC0G//JSLeIZRyLOhgpKH8PVWG4ualJCn
Ts+PQ9WW9nky5XRnto1xtCM7GvahKsC7KwO/q5SztqU+ffURGZ1GLHuNRIgcfIW8lHqQ9U2cZUeo
jAKuqx65beyUbpI2W1fKjelcACtQX0ATExOt1gsECHVITDs7JkHn2KiSy8lejJr6u9uO0usLid2k
3EYdaVUCQ+yy1RA5SI+sp+hUDEbwBV3VxsP72RBeqpiV//o+v55C6l1EQbTnYf5p6ywr6prRGLs6
ORpRJJ4dSR5+BPXQ3UFacTZQ7tchCaAfcFuLqBzkWjRWL5dkYUxtHyUiOSqjPnraaAznHrPRx36S
uy+i1OydLHXO2emH5lxgtnIsmyJ+CsFcbbz09cfk/IRftuj0LN9SvXyQPjeawMhzXnrI2xOuseU+
ThJlY5SrfU9fgGRiYQLBm6QitRolQg+4rez4KGRVQnlktJ8Hp5+8MJ6772KUp6dymOXfrggvo9LL
BW1PRnOFS7BROKEEMeEF2k3iXafJ47Ogdv27MDhGYRxcd0CpkymsZlBCAtXOsBI+1si4eWnddm5N
7WNjBm+sGIZZQjlkCJfJXD7kLzmzbeJSGw5GfGzHqmE5NNU7YPnmnTHF9T6prAgV4EjPXF2V4ueJ
zMov+z7+hsZMsRFBvJwllyfdgjGA7rQsX9bM6mvGed+xoqvk6DSWPnsFiAaxn5EmfnAkkfZuEFGf
89EQsXaq5EAolChfz0d7rrTck6C73k9zpORuZ/X2N9hX+de65FRxae/Iwc6etfhgSMZs7BXQb28D
verPWWvbZ2logPtqrBfdE3mL70CIXcydpQ/pIzqF+A9B5op3MW3v7GmoivS7ZCOD6eXqbJz1UQNY
RCw5Kpg219j+odveGLuiKJRjGIZKvZeEhFlKRU/3bRv3ZkgvT8OUKIjyQvW13MkqX8FBbjhniCGa
J3MKhl0ZNyjdlFNdK36epsPGIXiVM3ExA5gDLctcX6f8pDRilrVIOqBFHuKy3Hf9Dm2d9BvGtj0F
64WdFs+KjP9yiblMl20FB9e3GiEcZV0KAWDfr+ob0aBVIWlbgixLVe2tua3Oc2GLR7ts+nt8yeW/
JoB31M+dfmOZXZ9MBmAPW0HsDuweoK3LBW8OCiJJJh71ipTZO7MpgM7gfr0RkVxPMGk3lzVWNhz5
MFMvRzFSuzaVxoyP8WxqjwaGwcPSxFTTPXy4Brt1Hi/wjXmyatwiiR+82swAMb5+9Vy9K5kg3R4O
ERBE7O5VhJJrIcCXQAqPjmQGspv2kupn6FJvwTWurjjcHEBBL6mZg0TAOiyHzBObhpjjo9an9hNl
M9Z7G9vqvu3beYtftRwDF8cEg1EwWfg78L/R+ruc2hoGsFXh6H6URuUHJn2aq0/Kw+BIj7Mkvrw+
gbdeDM9pMjQiIApxq/BHOHNXSqUZHUs1ELs2C8wjd0t9DgCe7l8f6iXwWL3XogiLNIVMhwoLhMv3
CkpEE/M2i4+mVSaxq9aUY/s5nEJ36mYTvKeZNFSoZGQnA+DEkmdPQfClmmLpy5Cq9jcwv/bXbgBC
5aoQyFE0zEXgFq2V/26hgWI1zXjQCpzVSC2tHhQQupqPmOId+6ZXPFNwM/WtnXqjPW6J89xYwOZi
zsCHpvsP5vByTsQ4RPRs2EZ2gtQg5ir0uZQh2NgmN74yal8GhQza5Qvq53IU1P10ew7T5Aj3Otpl
ocS7aHKym9Nyi4BxPRQVo8VdiMOHc3dNz8rNOpyFHamHrE3T75lNYcHRquRDKOhpv76groKjhU2J
mAZK8YQreA5dvlVBzFkhoKIeNGG8z0V4qrr4mVvpaz0VD42ofnur6AvAbTnTOfQ43C+Hk2MK1lBI
lEMVtfYx6DBYSQy1OmUI/Pqvv9mNSeRTAVQiZmEBrhmWAiBkBNdCOciF9X620/kOEH/qKlIbbVwW
N0aC3EGnaclIFqm/y5fqYNJBiFeUQzblGta8VeeZlSkfbAvc2esvdX2skfwg04xcMZ+MdOtyqEJM
2WDaSACXYd96HYwjJUt/2InkCxobG4Nd7ysG41qAqYyTBbHA5WCmFqoyoZ56aDjMH+W4T+5bedOD
+uYoVBBQpll8u9bwZAX4cQWBSjm0jTk9xIls7uQo2UrDr0PYF54DAay1sKHJ6i5fBoFu7HixE8FB
sKp3Y1Lop85qRg8uNlVJQwT5WYrb9LNQuuxb1eg49/a5teur8rf9dF+eZFFqWxjTVyWdyA5h8lWW
gv7kYHnKoBC/Gk61z6rf19JjKEI3YhkaXRS+Vyuz0fRCikHlHOxIGOe4LpJjMYnfFpBeRlkyOHRl
FyvI9SixY6dOYigYHivDXVPo3T6Ya7GR6ihX0dKiPQyaGgIz0BRaopdfMArq0Q6jlFPRwPBn1OCk
uUgOhR4B/OjpSg19WdJagnynfxuVKHp7s2Xk98IZwwOGUo1bhhJthrSu71HS609TONZ+n8MtdDUq
QzuMppx8Yw9dnw3GYlZIx4EyIOqX64e2GylOhI4eYxI65xzdEbcdHfsUzdVvCydyLYHWAQIHK5UQ
a3XjSuMYWJ0+Qh9Hg3qn2K3hKfa05UJ7vV0XZBCLCWEzymhrWDvYWpkKvjMd8jAbXCtuKzfLpy3J
/Vuj0BFaqiF0pDCiu/zWVZTPyN9HM8SraPCoYqh+1dq/XTWDHoc+E5q6Ctcg+NDLUaRKsh1cc0eY
LLp2toPC/Jfe4eJR2GX8RcwzSiaRU3zOylbdvX6Ov4AS/18cB0ptKU7ThFma6rCVX7Cev2TUcyJN
5kxx5VDWg4zYtTsFTRfkvtEm47gDf7KEF1FqF6xpSztgiZ30hyqhUokYmiKaaO8IumrPY2HISXxo
tSRTp51ZSaraf+wiyI+GK/hYyk8RV82sUAa34yJ0Z4kSqTeoCDDZvoz4Uv5egltveSIzkLJXJRyU
75Dcnsdj2Hezc6h6MaZ78mD9xxhExCsfsqVCYH2QAdvJ5d7o+i5pDmUeDBUbMCvMSUOFJk6542th
mME+7PJAeFFCqpNGbmyZlNOA5UlyA5XeLtKOCiVQShX+4MMU1NA+Jzech6kvngvqKlIFtxftgMTV
zDb9bgTNlBxags5iVyVRUntDphmt9Bgb0fBjLGM996ZcrWpcfgNT3Yi/L7fzonFB/II899LM4kxd
41dCxAuw/6IhGxSz45tBW5xSO44fpWkqN4Zaodv/HovuwoJsJahY4zObEIOfbAQ0aZkYeSDzUX10
zEic4tBAgrJTaPl7NbIwzzKqOj+CVEfVqiYO2uJfX+7Fl+cg2l2WKQsVVc/VuRLWzcikgjIIuil8
GmZETLFC/6104d+DoA6ARDA9eV52FV2ntlDHWDNp3CkoMrpSFcRP/WjU7/H2mf/1+ua79UIk29DJ
aTqQnKxeSEJ9DNuepQPJPe9hqK2avqgdqfA3xlke+pdNvqyWl7uegxKhBfqEl+cLSElkS6S+OoRO
lrxLBtkM3TG3olPZl5SgRFdOn9Cgbg2Xmpl1P0yDk7o4BNTNKTCiPHSNyMGbXahp+KGyYihbTl7X
j2Myj6PLNcs2KhxrwPZoHqWvqE4G7+c4694EWWiQ8CKkj+FZUsI5dERZ2ccqKWA/ZpEYP1oinJ4M
gTQRpt2B46bz2Mi+NeA87xZ1FT2UTdgkHiI1munGYS+MXVcrylf0MMYB4y+p/ATTUGh7IVRqpzap
g4wMZFN9V6HpWXcpydK9JNFy35rUG3NKBrYAuwDKyVdSCAUwpKyh8yqNDmiXNFDeUG+cP7z+6S4r
T/9ejr+OsiyhX47nBO86tUjphBESIBo0GbZX5p2671GR2tlJm/Gxouo9M7WFZr+Mcv4emeVCILUE
qus1UxFONGEGcDIgdDtqbT3uAk5rT8F/4NlulOlYK2H83g7V/k3YK+yV19/85vhQFEmmwTJf3YmV
Hg5SrYAXLZqIgumQJ18jKR29vJKyh6pRIzQd9elNK/XOx7gSygYk5HpvIkW4HKwElAacxVXO0ZGl
ci8uDfwgte9MrZ8fEVvYOtJeQtLLnUkNmfSaUAbtAZogl9+3cbK06TO0kbjiutrtpMiJfBmnYgNO
lGKN6B4mueMhl4OUlDKZFN1MJ08asBJJ9ZcFCfxD1GlS6NZBUzu7uq/bh8EY0Qi1YBw+qXXY/ahC
GwUrySnVc6kMtuUjZYAY2uLA8C9NmeaPqa6OOcwIYgW3sayx8qKslmMuNJ3SztyLONi3CAecqjpV
47u+wW+DuTezY93U7YeRetRWj/T6fgPjShmLsIholUVwOS9MtV3kMQpBQd+XqMdmFn6o3Xtbk7aY
dddnI5Wa5fRFs5oG0NqhHJiVwAhg0avWZ0MBuzZJ92WhF4e6CipXw2NwSyv31rvRRQYvR/GP7vbq
3ZR0sOcx4NifyjDbzUn83hESzpFq1G+cHjcWsUJeJ79wpDEAW0WvI+XITkn18gD3u9z1gy7v5arf
6spcn1FI6oNffEEWsWNXZUd1ruy5i7QKqHrwhWil93QYxJzXstcUQvXUUnqaav3u9fPhxndDuZOt
SfZKYXxtu1pGRdlqOcJVYGBm8q/hX6MWfoyL4ufcBt9fH+vGPHIE0rnjQKBMfjWPCRIraVGJQ1HJ
wgspsvq57vx9Tf+fC+v65p//za9/IF8l4hC/lstf/vOx+lm8a8XPn+2bb9V/L//0f//qPy9/yb/8
+yf739pvF7/YFW3cTm+7n2J6/tl0WfsySPizXP7m/+8f/tfPl5/yfqp+/vnHt7/yuPDjphXxj/aP
v//o7q8//yDj0dg/v0znMsbff+HhW86/ffMt69Lu5j/6+a1p//wD85t/OORx6JAhTcNuGX6+/LZq
/AMpFo5/ettojS4ZXoGrdfTnH5LKnywCTsuSW9yZlyJoU3Yvf2b/gwYuyfmLPxAqfhBY/+/7P/37
6P33pDMff//6v/D0eypjRGT+/GO9zMiWSY1QGMG+mM267jiqWqOFUSJbpzprlB0uMcppHOPWrxV8
jIvQ2KKcrA+H5V1YZLDrqHctXdvLgy8c9DSqhNWfBL7qkMeV+c0shmrvTN1WZfz61YimKX1SH2dp
X63qocvsbJDS4aQoI45QWly5eey0oKrreScbU7375bPfmMoXmN2vlx2VePJ0dQEI080DY3/5bmNl
1GjNReqpDTNs6uQ27N8EVayax0jtINOYuW4It4cC37lS6sj7oBGd/ogEdjdD/ClM03PMIm08tiKk
4dCe9WwfkUEaPn0FafbCPjZ0z0pS3Rs6RHbzQOvI7ODweIMzxt8MpdW+VmEzfpsR/ABXG7RG4CJN
bkhEprry6AwjP0Dv5Pkn182kuHZoq+8iO0ccIQ+cqDqW1Bhi7FnNTPVapFRsN9HT8WuWt4P5Me7y
Ot85fVGf0izWR3ckcwq9spb0lEZv7vRHJyZm5i7T7DewpnCsRfsgypgLR2r8UOrzJ0WPjB8hK//c
SXXgYcdZnDuCZ8VDz7HdtTHdul2WqjVXtmN0mtsIYZ4KOGfzsVsWsxfEcv5jQl4o8UmlqDclqICO
nhHaU+KX7aS/nYYo79wqmwSJcM1H9+tgsHaZ6IN7tdYqaRdJuZritpOLRLj11BQBU+hPxeAUe4vI
8JhERBQbBex1zMcCoaJDlxPsCUisdVWZYDvv61lop8zSxh0FiIZamGl8QYom3Ct6lruT0ynvmzTW
3kM92xLbW2k4LJhDxsfuZxFTW0pXq5s5yKwG9U9LOxWgz7+pWjpWvlY54RFK9eiGfEvZs3Kte9JA
p5waTRVn+PdRs6PBVO3RB0vIoIADWZ6KXt5WGrfquf378ahBcVQu/o/UOS/3T20UeDhPkX5KhI3G
PuBk1whYF47dwM1pROlKSLe+Ke1sPBpok31EUyPyaanlvlWHvkiN+2bInvu2wTVJlbYaU+tbktnD
6Yq2F0qFxFHro4vwFs1dvdJOqPfo3sxivstNpHhfP0VWBfSXWXAo8AKeoyXA3bMqoKvVjBJiEOun
KFSRHBvHfAi8Kora50IXuu47YWWd8kKY4pCbed+7OANow3FMh/67uiVgePNpFkw1CNylwbuubBvS
nDjTwNPIRdt9luTKqXCkbMFhqFk72q6O0gE2al2tu7qU6W4WSVl4todezH7RzizpjelZDtHLQ9YC
tQUUlMB5setdLZKqzohjB10/DZC4BlcSjobG+Nx/FijxTp48Gghe4r0SPikh0iOL6spnXYS18F9/
kOuLDNgCut3wnmx29Ho1INkX60OAvVoXOPZdE+oBSsFOcpfk9pawzDoApTZFBYX2JA1pevrrfaFh
miVqGGYnmBSOh6nNY51VH4ZZbVy9jz406JF4Za9vLMTr5b7oE9JuoDBMG2wNACq6KRoSLUT6zpQz
D9xh4Pdd3GzkodfTyKuBLsLMgHSU/sblnk/zVh4npN5PA7hNb6y08NDqIeDU0d40PbyeR7hq4FxI
uBfR8DV4s4EBVzuVsE9Vq9i9X0uz/DC05WB7WtGDATJzJXkrKiv/V5hmJS7ecjs4blZM0j5v60p4
TZUm3jgp1scM4OR3hyru57iu87fDmJadO9hZ8mxHVb+L1Fg/D5J+38sZDmtJXCvvLKx6JleqZ+ss
10Zu4HUQWD90tJdypHsavbkra1N+7FNLpf5UWy2iWYUcW36YqPFz3FXj2xKLhHgfOI0a7nAebt/a
InA6ToSuzdy6nCyOxTpUYadV+Z2NpEruU92MKV/2tn50AnqdOzWZGmNrU16HWqyTF+ktDkcypHUi
ljhRlteFc1JRj55cE6RJ6GatXn0GDJ9/TuXBoMaRxkbqG33YG14+Nt87I+kMd1ZtKgJqCgMaxCyF
u0mWqNnVfdl/b7oi/PD6tr3xpGATl8QKvwcMQVZPCrKrtWpU3k6F1SJuWRrGY5gioxwq7eyjkbhV
Znpp7F+eV2gSgsKR0VNWKbaszivFHoJQbauAcnKSaO7UWh3LJTbvnVmvPxM/Lb3RWNjqQTcwoNVS
IDRA99WHTpWTL7nSO37X9uPPoBzrd6laxpFr40P2fVCj9r7BsutgxGIWnl6Rk3NBiv5OFalUbxx3
KyfP5VqihUphejnrqBetscdlDj9zJkw7FVTD3qd9ZvliqMsPlaFEx0kqi33bltJ5biUD53u98kRs
z/sqlM2v0pR2d69/xqvDCXDiogyK4TcYJ3KYy2OjxeyLa1CNz4Wqp9Tsmu4g1eqWexnky/VtA8gb
YxqDajwZGdJyl+NYrZHIuZ3U59Ipw71E1yr3IruhTjh0vWLtqkHDvIPpTqK93U/6g5GVScbd2Efv
6kZYP/n59V8FMnRnORuD71Wh58W+VLTxASFAeqMZPl7RQevMCD3VdgDpN2d2RTStw0jzJILFY5Vl
Qb2zl5DYqyg7p6CRBqHuk0gLQje3WLRuTtBQuH0UpJSuOoRFd4C2xM86CKQPY1N31iF1FAhBWU06
8S6bjfizFCxlcrPVi3aX1miWeXIWdToHhKo8VM7YEy/Xk76L4wK8ZpA6H8FLJrJrgZLrqGML+dR2
PQ+fZ0P20jvkSJUb5N1xm2efO7GTfR70avxA+VokHuBOmrJzCyqagpeFnm2L2fbo1/juqWQcvdV7
4SThfaX23Z00ykrh6qIv9wm8uUe5D5POV4QZWW8SXaRfm1JxRs/s8RDyMI0uCldUkTjn7MVH3Q51
yZNDu8AtoRmcn7OhlugjlWo3YecpV6UHMXX+OCARikR/NEWt29txPnp91ot+Xw1z+LaXagt+hBlX
z0llpu+VPDAjWl6F8z6cTPtbEEMSdoey44DvoNj0WEHJYehZQ0W2RRL9KUJegdAZTyo/JbZ8Y2Ud
MzfOZbMr5ij+Ipf4NRyR1dJw30XUq9s1CLClH5rE7j/iZJCaXt91Iw7zeZPspNKWC09VJntEWWOW
vKBciqnNLMdvBqFJ0PnstpDeWCE9dlI/rcxcu2rM9DRZBu4Ho5ErimtIaksdtpbD+3qY7ByxAJw/
3bB1wq+DrsaqT3wfxj4gQkPz0m6wWzc3m9g+of8p/gpFZyHTrWlVSU1KpjIV5+rYQbpL4DzkY3QI
tQJ+dMIPT1AwdvLTlHNxUsK2iuDOoWMe70mTU5uAvhS9ixwDRn3lJOfjXivqovMiFQ4RKunqoLvG
lE0ftKakA2HHTZL4hHSB7almYH0PMduT3TGU26eyzBBnioG4jF4qZ+3jArV871SJQudCqH3q0vys
6S9EJXcrmvD9e1XNTfIg0NVvx4Ymv6vi3BAjdCya+1gzCpqhpahsssdM0Gd1mmD5K0EW7IrRCCco
F7HWU0/Qpk+SNkaIM4exNS5vP9V+KsnxX5kh9P2YK+UHdD3r4t7sbaM/mtVUPxUjpZjDXAbGKSVP
/2yYAjamjeUx/gE6lbVj5GThXTGIAipEZGgPet1PoFLD2T7OqhF8q50wfh5Gy/qiACa9i4XefHr9
hL2O/OmkAQwAFAwehP75KlmMG3XKJ7Uozr1B2tdHtbSrUqG42H4nO7OQortGsj9LcxW9SbLA2CWR
8YJuq/avP8hV0gzpaylOkTeTEVGnujyCFVMIRx66+mxIZuvnmZW5YjLekaqxPvDoxLlvRKKreMt7
/Hh96BfFr4vLexkbfgrih+TtYCwvxzZEAjdwQiOCSlPnijagM0WWdIpKw0Qi2hL+FOE6Q6m222tZ
afm6pDk+V4a2D4xR8rU4yzem4/pKglJP0Q8uB9E5OcFqPrSB8GuupOaMnbP8JrBRqFbmUpzjwp7f
kgfL77C0+aQYZfW+TKRknzJ9xzbCJB2fmq0u1lVIzcPQ2CUDAvkJ/3ZV8oqJUkvs9tpzg/H8pwxi
xOSb4WQ73pzrki/3XdZ4jp4M9gEJ3HzL0ug6uqL0T80HUDWCR3AzlvTil/5hleqjpNdVd66Vvtor
yTDT1UHzFawWVitzYkh+LCU6/Do7P0q2Xd03tjM8gh2MH5w0RRy2aR1O5wGOrtJbk5cKy8TCKrKD
ZxzDIj+oqXY4RG2uY2ViNxShs1EUWvL5yzWGCAnwv6UZBD9vLRwz2VaRg0AsUBjCe7bvpO6QDo7m
zSA43xQimO50tF83IvartIu0jhGX5glaA9qaLU2W4OhhnJZk6kl0NE1ilrzIs6M0q8oG4uDG+2Fe
RP9p6aEsImWXnyhW0bTn+5XnUq4b+v/UfjsND8XCqGWfZqtFFN5Yu9d37s1BgW9SRlok6axVmC+r
dQEfXC7PqaUIvyhN6Z5adn/ukXnZcQQHu1w0Wz3Vlb0O+5GdaRDn05Sia8OqvHzVNJqDqVPj6hyN
8rks5HtO+O6uo13kTiiY+O00cP8bWe9Tn0jvRGK1bE9FeHY+yHstzORPRCtchGY275SpjT8jbmF4
Y60n+yo1Jz+SzNQvheK4hWiTw0BZ/7EcezTxS18blE8duB63DxDgen06r7c5bwM9Ft8leBRXLb0I
VYpcS83qPE1c/0E7d6dWbvtdKjoD8zwUxuBp07BHgGMj77gK9OmOLAxByNmk7UhIX05plkZEs5nW
n0NZ/pxorbQPJ1r1v/t6YMToqkCNBYQLa/VyELMY1aHF8+8sJ43iRcFsP1cw1w5FOH1BbywLXaIX
mwt6/vj6wC8tgcvNj7A62488BgUwujqXIxehrgYjWu7nSZfST9Mgmgb+jzG708TJ6oqErFSmNeCN
amkdKcT8mA07PrdBrBw1pe59uzDSu24wejTsLOmckyzdmSXS1GnZSC6+npavREq4MWHXX2VpFtE2
gh5KCWxdkRqtIS5JeHls+HBnbYojr1Y2fXJX6iHLflpQri/GhahygNC6nJ2sThH2sqP5rAuLPLcJ
613ft91DMibNXsx6dbSgGL9pIG/v+jg3iSCV5m6WrOogxTCM6zLSPUMT010NRmBjZS6DX346DG7x
WqFCC1MEaazLh4uDIQ1w7VXP1PHz+9yOeq+xovopLdvB74llNhCu1+XxBacCGh0iATVoCIKXA6I+
lJi1mmvnOc/Mc53M8iGrzMDHT3twnbQMzk2RaXdpEFZoAsvGvmuT7OhEceYXUyodxzKa3nSUy/+a
4qA9E59+eX01L3txNSOESBRWQDYsyo2rvWoIgL2JaPWzJRrVm2FI70NjjB7aTJb2rw91Nfkc7Utj
D9bnAp5Z5+Vq7KAF2xvGOZ3zr9BKP1lpi2FbKSwXquRGGHj1XstgoBkWrxsArNpqGSahXUtdzJyH
CheHQp/iDsRUddTmJNrgDF8fCC9jUXLQqIguVOXLj2z0TttNg2SciWV6TxiBfugho/lgVLSjSuzv
TmXa7iMrHD5YtTr58BMdd6QDsB8NddzLWa6ddLPM7hOrF5CxbOvUqE70WAxx4vVyHB7NMd9igV2d
Bzw1AJ+FbbKszvUdX4V6RC6fWWek6qZjFhnGEfHI/PD6R7+61BenHK7zJZygJrO2UBVR146jnVvL
gZO5PS2qwqm+j6p8Z7TOU+44n14f7zrUZkAGs+nAIw1BbHb5MXKpRn+xHqxzrPQPXSL8pJpOErdr
3d87creP9WaX5oT45ew8WMUARN7StsiLt5+C0HDhRHHWmKuDJnKGLCtV1TovFOS7MpHFvgpG4zxm
NZUmgqsjndf8DOOncovc6jEHykefNvvkBlbfPb8+KTc2A6gFupL01lVq9+vNkEq60QaltWwG4XZD
KB1BlhSeQdFx43vfGmrp8qDLssRV6wNPLUWUYP1u4W8Pbd1W0R+vrGncFUOwxV2/cZ6wZanOkkws
kcCqzpdUhaVyaFnnrOwwo4sC+0mOcHRA9Hx+Fla9ZZl5azwOLlJSGDlM4ypSDNO2Ncswts8p4POn
0hoiOJMi8kOBej7yWFtyDtfZPK72bBr6lsv9wZ19uZSzoMJ/PZ2S+8Yag5NQm+ZblXfB29YwpFPJ
nNwVKnS7ABgUkYRt7GOtVB8syM4boeT1UUFsvIjcgQvGQWwNOMmVou4HoSf3KKPIYGSlzKfatvW+
10tnkRW18Y0CRoPv8up7UpoDjRMaEKnGZtyBMZ+9rteVA8mi2HihF6zexbVHYEzqBpKSzBuNotWO
0KJyUjMkmO5x15yPWkcsnkAj3GulOVDqFEHkV6IcdlIhgeZKtXdhnQBEzJLwXkcExk+DvPic2IuZ
LKxXrw/s0rP0cjwNYScf4rnt/FZWyq9UI7YC3+sTdZG84T/28xJoL9P4S/qMz1gw/w9n57XjNtK1
6ysiwBxOSUodpG63PR6nE8JhzMxiKqar3w8bG/gtSmjCHzBn9rhEssKqd71BQc5/rjpb2P7SGXWg
di0hY0m2HOKucIVfznKPiHDr6wCns6r/v+79clhszxV10Pr8DPLr+Y1urz4GTe+TZrvnR7Y31KZo
gjSY5Hkz5me8Nz0/qtzC7ypvPmRRn9y/vTNer+n1Zf7fU21eplAa0abJkp9Vq+7P7tLq74xGdi8l
6ByR9up8eHu8WyuJXjgCJMS4VCebR6ucmn/ZYLwplpofZyOTSunj8O1Rbj4VmkTO65WTtpUNgpl4
mejV/Az2r9DJ9O6m3jlrqf0k277eqXFvfi0QJW5j3KJhgVxODAWudtbVRn4eU7JhvXKYD1Ek00eM
2/Ymxs3nWg0PKCPXZ9vswGISU8l2mYP2Ls8FibXGVD3KRLMCSEJ7yQI39wh2HA7x1TsXEtzlg8lh
Lp1K5PnZFY11zPQOvm8zn81RoXsBWvFu1Hrz0CzYVHTdHP3rpOkSRubkPkkzLu9tGj5PXjlrd2k1
dQ9TK9pACrN9rtTq22AO/f2QGc/LYCV7Edi3dgjoLutb4ri60tWhWc41oyyY1BhuhzOE9fdErUfH
KunM2E90bXgc+t375Y2PsyINFF/0+QD4NoVX34oBFI9Vu/RFd0Dt0AZiquPD4kSDX9OQ2qk0biwl
6L0UeKuGkMNuMxnsxLUn8jqYDOPkhanA6GWi6bqzYG/MbkZZ2TR4p4Pfbg4lY1b1PtO0/JyIQoZp
5CyPqhm5hGU7zs5CugZGwdtW1H6FwRHsb5dtIsyyiIu5OHuKUn6a65QsV62s4x+JPbv/NE2h3M+D
J6ZA1qJVg1yZofo5bj1S3NJF/F21caIFjt02L5pTGDFEn1R8QFu2PAlsW37LtvKeRYZszDeE4vy2
MIF4R9muLce3959bLw3OKCIRKkGuv+uf/3FELVLVpFJEvLRxiZ6NuksDq4chOI6K/PH2ULdmHeQF
gw43N0pgjcuhsklpkEW7+XlW7H9zA58DqZoY6FuPca7vTYYbC4vtAH8otgM4ZVviS4PvOqh9VZwT
MiePlpapz5pbKIdMiYdHkY3f8bnvd/byW9PcXic41Tsl4DbO3mZya7Ari3OjREWYRPPgJ066p4+9
9cW4payvEFgbDcDla2ySsU57WRfntDaeJ1NR7mLMjf1hjv/O/Bx8aAWVQa9XbNJjXa3P+8fcwMcY
/93BLM7Kko9h6TnzcS6TaWcG3poWWCiouJPB7aWGvhylqPBQQN9SnCuvK8PRKZz7cdAmXxnb+TRr
pf4/fKVVlQRJZeWFb1maDgdtrcdKccb1HZHK0FEmgxzvlK235sKfo2xOJEoGI5GuXWDTJMRxdPP2
YEq6Wm8vqVujrKAVWmmcrbA0vnx3TswjJiiazn2TRpDU6PTbgib426Ncf6FVWsRh8cqnpwi7HMXC
eArmgZqfNDsz7iBO/Jb9nB6hkxbPHdeiw18Px0mBmxBAx+sXuhzOripjINe0OPUeHOhCWYpD27oq
lhdtcYgEZJy3x7uBACAIpedHlt3r3rQBhdzay9UIh9LTELUtZFdrSd8NaVufzHiKnlCK/KrjyQlr
PIsfIJXQmjSQ7yuqPp5mA77J2z/n9aNdXngIUsDYkcs/RjyAn5fPH9m1CxDGz5H2BOTUdLERCsxt
EWGNrV0RYivKOIiLvvzeKwgc7qbO04vAHacYNBrt/6+2kh6cOhllD7JMsR6PRE4YSl9hohDiaDiH
fd3rcB7knB0n4TF3XKM3W1wcmua+1ezppxHX44tqtIkXTLh+1Uwuxe4ejCZdPrs4Tn+qaoV21kIa
3GAPVesX8JYecw4QG7HXtOBVmuXCCZKpKTUfiQ9k1kYaZFHoRfwsjGixQi/N9CmsY0f/bzZG+rnw
62GNdwP8gKOYokn48VQ13+x2hI1v1a2NZqKp4QgVOgfoUYHTgQ4AKo1yV9gVkk+rGrz/uPU0xLi2
qvGjydVGPerImuugigRslGKYur/zEmCfJBWPhGn6G9DOV6ju8oMNpVcRRVZlp2HqTZ9UxCzMvWIX
oF43wot5gXUqCB11O9R2OKvrkffHdtzVPWEzZjadWq8uD3OrdScVH8djhumHT0id7huFTZRtZQ2n
vCiTu25e0h0r36utAPRmreY5x7nVsh9c/gYi5Co2HTr2+ILoDwr1xMpdolsQj/ajZfV/3Uhd2cgr
DXm12cF9abP1SM9WcBbx2lOvR3U4u3zHrIz0O0tN9oDAq72UoTjpoMuuungCJS4fDR1YVxJN1Z7q
Qv/eow4NIUzuKTavey7rKBBuV17dammy2WvyMqndeFnaU+dG7nkpmkgG9cL2w/kaYZagw+0bfANI
/J/eSmwWNLJC6C9ETHyPzK7Kw5Ei9xfY+GovoKvT91aZq49vb0HXxAx+JbLZV1kjFc22aY5XXdc4
9tydykaIZ3LBxgNAYdhV37XR0Y96J6JAK2TSsKad+K6a3OK/DPbiMaciC0UT7xXcN+bd6hemwUHA
Y+6q4TxzSzfbaOlOUSI/D7kp30Wy+2SRHPeoZkmxcyKs95/Llcb9GECPDhTybHWrERiXLjKVNO1P
imjt+8rIlselTyf4gZkoIhrqZdQFNVVREpje1N+Vrbvs5YlfQ4qrKTc9fbjhq7H8VqHYy9ZSFSjw
J7OwnCGMKnP8NaJl+jySoVeEzuDV/6DJ0PpjN7XzC9e29J3nIOnO0tL69PaEuL5grz9mBfzwhUMs
uYUVESbVWZ9F06lbYAqyF+d6G2Rzlbd+z7L5sraG8KmhwWv4FjLi2veidv7XsZci7CzRL9hMcjV4
6Wq1/1irRqP5UZxCU1jI9Pmu5iqRl0xvNJ91neSfDDwoA7O0SrlTW6xb8eWX5bpGLhL+O5CF0Qld
LvLKsGdtnOzhlJhDFxhl8jtJe+deGaQeJi2+Hqa6xGfb4EnffoPXUwo6LYcETokQubHZuxx4dUer
4ygfT45+JhoRd4K5Nx60HI5dlqB3qQuhEhhANsHk7jzzJnBvPZ9WM2xgSIIowJi2vAkAYaVVC06F
fpRAwZYQ0TEhZzKcolb9rLtp8mAPo4ZJTZWWvpMNyr8KoOz9tCg4rrhTnz4WEDuiBxG77bkdEQH7
EZlr+QPA1biz91x/ITrS+JCx+PjZTLbLFyWlZnaFmOeTg2x2LZpzuwsIdKMA1JXRjcmDVqvad/Cp
aIIWgtSeN+H6JS6nyGofCaucjgiectsf4KXuODZat5zifBBhLOn/eWo0h7FV76yqWyNxDKzWHWiR
EJxePmq8TGQa95p6Ilfbvp+XujuwMOI7rZ725M43dhNSTMHPmf1sJ9gyXI5FvotZ5XOjnZzCikJF
a/rAgaR7HJDmPZlpb93B48runHw85706PBnaUD2PipbsTMbrdcDvwCCF3j67yTXlTxbRvPSeevLG
zr1v2iQ+DXE/hJ0YJMU9tOWW5O9H7r7AX2JQd5bhzfeweiVhSsjGDsXi8j04WczNorH0ExkozT+Q
8psn6s/OrxbFUg960tT9sQEf6wMqYLXm+1M/h7ZWjl/jUWh7UP3VbAeK5e5LlQ4LlOzVbX1jVok7
RNl8KistOqS90fg0pn95de59dIzZCy0Rme/jCmLT2/vR9YuAVIhDPtDza7DHthO+YCBdQwefTnal
mfeJHOIjqhI1sKx8CZVhdo5uFHfv+tqpQ4ro8WHuZ/ff0VG7nQV/VXexG8JDgaFNNMTKd7n8Iqhi
NbjI0jwpYJUHRCufC7wbjjuPu27sF6saMQrUKqTR4DO0ITfVXWzPmZokmcv8h5N4MArwVdKzl870
RyQB7410rr7VOC1+cs2h9fyhpI8HE747arPVvNfkPHm0mGp1L4Z+nXBXP8xbXwFkOg7XzSYgXGEo
gKPuaTJd4PhYLc6D13ZPVp2hDfMSGe68ifUf3AzorPyRVaiqEjKy2QnGUfYp9B33JMXyC5LRO3f0
GkERyoob6UqG7WJ1ZxWj3nPTcINErxC9EBvbvH/7h1x/dxzTwZi4O61grbb5HWrTN2oiCaEbsKhB
dW034VSJPU//61IWw3TGoNReuyvWluQU24sVx6Whn+p+tg9WTXaOhZ7rPaK5Kiiq2Dk1ilaHkznG
GBXhvuf3ZaG+DEjB8BCWzr81IQx//Q0IQOZSAzUU4RLzcvPR0Q4MERYe1mnOwTTEqOvfcf8Cp+Q1
3LlqB30/zeQZ3ihJMwDlyHA0v0eo+PL2N7jmw6ztEq6ssM3W+m6LzM+WGJIhdY1Tkcf2r6SaxKH2
mjkwrKZ6EIPukSxlJne1gZOlmmIONtpDQ2FgawfXTH8nmto9eBHZex4+vo/4Xc4HWTnaJ6evknCR
tndw4lndmTnX1ShRPBY+kGsuIyaYW26YMq7gUSmtE8ldg/QNb/AiX81LOb6LKul84/3232ecbz6w
oWdDkGCDVrzelhA3KOWQBUu6dilLO45/Tu2k/zfNXfGrxyg8ffBSR35AnrlMPjzhWKKkUFvAQs34
/PbLvzU1bTq0iJ7XuyDSvsudz23jvAWWsk7uZI+HOtaSp7nLl/tSqfrQxTz90XGxUbAUUZyqaO5C
tzGUI067hj+W8/C1Rpj69k+6NR8gvQOXw5ygxLM259EEnBjr+mKf5ilx7gSeKC/6HCPD1CM19U2S
VEufr+L5tU7LrLar5cAJ5oZVpitfchKZn5p61a+16XwiJNc4p0WTfpNeEz1NSwdYozjf2sxKd6qK
q0qKk5OqgtgQMGS0odv1lOU5nMlaOemtkt/1c5b7XT9mj1CM9tDCq8YCXrLQhJDGcVzDgdggINJK
3VaLMu+ko7al51PpD1nb2UHcjuUR+EkNF6/f1e5fYT+MSlsBO5NXj+MtIc8rZddXTuOd+PjkE/SJ
5mtE5oZSOi75tr17bNyxC5slFi8zDrFHO99Ta+hXpdvqsLJWqhgsQPrY8oVk36f1jInEyVCnIiD0
rHrXq+nykpkLKRTqitVqA5qxKBkPMhoFOQ76fDcTF+HbWakclDXsVx2mAlLd7Pg29pTvOrvtfGN0
FJ+WtPpIcmJBT8MwHhSbLmQC7fNgAxX6XeYAdE1tFaRs9EHaqUO4Dvnj7fl/XRWtzwhv6PUohpi2
+boYyOD7ao3eiSi7+nO/TM69kbZlUJYjRKwp7p5tMf6YTCs5OoNuHFA1FY911WsPb/+Qq8Px9XdA
58MVAG7aljlSNmMWa4PpnaI80g9I/YyDl0/G/zIKJy8AG/PmipalLQ4vsrMwdAUB90clMv3Os/cq
jqsKh2dh0hgweVdx61YsMKlDnysg1adJj0TARdMNe8W0Q70jx8QWIO5vv7tb40HtxCAZBp3Gc11u
q049eegQIH91Zab9SIhNC6xIY0fVPe9Zj7M9h+5rTI8HxKiAbRx6EtzSTW2J7A2Aw2Nx6mkez0dC
LL3AlRidI53K6tApov5da47u506Ytee7RqtWoTqlMNCLGblrMFUj2dTKaEJHN9H7OD5+LeX3t1/L
rSkFusnSXUthDp3L1zLXAuqUxL23xf4i6MoRf9ZFTjsnyOuN5aK85GWwWRnUT7x+QI/LYcguXoDy
TfeEXDfC2bjKzG+oSjvoR/kCf0IWqpdhxWhqP7oZdj1/o+2WMJni+JGDHe2FXufjXivz2puFzZo7
LjUv2DlaoM1Zy21H0EdnEtbonL6t7GakdnKq3mHWMxP9YY7e2ehkgiFBpi9LKGvTxvMEQ0p8Awyc
UonP7nXEA24RxLGxl0574+NgFwrZeo3pIG1g83E0RdCAlR1pRXNaHcwoqg842PY7H+fGymDrpuAE
BFotQze7mxI5Y623LuudRBs/i+qvItJSXzPEVw3Z8d4V88ahxXAcWEi5OLpev8kfDQto8Lgh4MRy
cjsMkOasIGnHMuL7JC+/aWn0VPfdfKg4uAm4h5Njctl4e8rfel4gfRAW4HZYSOuf//ED6hxxp25l
0WmoaMzkiWudszFF3UNE5V1cVnuaBUIq+Bc3s//1ngGteQ1sNjeX2XhSEdFUaXLuJnfpUL65Zo3P
BFk3fpxXxvukRWjuxyItBt/Gy+q3Yji1/sBnST7bXuKmvtJpxWf8SmWC4tqxDqYnfiaG3cXcwiNo
EmWrjvpqoCp0v7KTuGbKCBOaSCyVY2I5PKgi3fFRalmb+2004Mfo5pa88zy8jJ1SVT4uGK7lftJ2
MSlnumL+9LopqQLUcxpNujHGldWZPHFuulJ/Wkxn+o4cZRz82Yr6By5adNfKoZJZWJlF5YbN3Do/
mkV1/024xxNJlI71P/mMqbC/pB5IuQ7XNwATbsegdeum4f9u4smHV2olQRHLisadWQz/uIlc+Hst
HpS9EpuB5iwZHlrY9eId4TRJaGROzFUNw7EiWMa+VUMtSvFHn+HIfKlprUwBoffp+xaE1fClJ8mZ
SIbZ+tBWy2gHTRJnD2M3VT9jVIuV7ybVl7EU916mj4EoNPHVwyT4ISLQ5mUWIv7mlDG8MEWzwLcX
vAAsJf1pS2v+7TR5/J8KB3zw44TveMgjyL5jbVSfE6xmg8azY+kDxnHgaXjSztjpODINKkgaVYDg
Svv49ky/cZegU0xniQ2eixwdksupTjEPeahmaUdZXmIDgLWytphJ2FauhYoJ/wQDDRnvSztpao1q
TqbykLvG8jLj0Ppcin7P1/HWlgu7gp8Cw9zizNmshXxsTHdMeoUAmTI/Mm9F4hvaiHBm7Jb3Rmna
nyrbUUIvUsevUuIqhb1b8bOoY9rNehyzIXW9693nfZruwYA3dgZQN0StEEFotG8pDU1Tj4nWDvEZ
JWrzoWyGKA3VTF3eFTT+YwwbSCn3E43iAadj1OlhNtiEWel0XXtfzSz8+asuEjExLa5+6DgtSLpC
pekFiiZzsbNv37jegJOgCMAEC4Ro6/RsI7cfkB5HJ1vK7BNqfvPgeKMI1dKKj29PpBsHEYxujnDW
MRvn1v9pym27NdmwTuNsxoc0IZfHNLs9X/wrU3AYDnC514YI1S2g3+a887yG3lenRSdRtMt7ddGr
h8rz7rIkFsd1bznqo8CaTpXVR82UKDKw8dh5qeuJf7lVc2XkMXG5QvtBVXC5YvAmNjFYKePzUir2
wSl1TCpK1w6HiZWBzCd5UIe8OeGSPIaFOon7v33R2OTg+wVrgCIVw/DL4aksvEIMbnzWuN8HXk8A
xMCKCd8eZV32m4fkkGIIdMjU31uwD0sgux0SOyZKPdYeOlRPhKzj4Yun0YjhQjk/tEq/Z4J+c1CN
VjqqS/AtY1NrDUsWd1Dv4d/nSyDs/qc1K12Qiv7BBkENXWVH1XW9mGFg0rTBP41Kg5vG5atM3YKF
GuXJmfJPuesrq3/Eenq9ourmJ6CHPVn8rfFYHNwxVuTyyiMtzoWyNG0Tn63e6Xxlmb5kjfYrstXB
Rw6x52X8isFtvyFFOyRT2Hi4Pa9L9o8qZnIQJtZtpJzQKTknXBoa0i0z90OVcus62jg+qb6UQy59
1a61IUiNXKrHuHfTu5mAP/HYEQ5zl4xRkgdVanSfMbwp/TF28BAeoslT/aHSp5VCZnGFb1PS8SBd
HShH25e2zZIHWbvTd3bl6QOGeOLfiE68FvYjni/hIHpXCdpRieVD0csESdzYUNN7kLx3ysnrTRC0
jzYmxxx47lXnxi7zDOfIxj45RjSerHT4leEc/5jqxc5F6RV53rzw1YWQvimTCvHQZmnOHmf1gG/M
Saw28s5sKN8S13BJNZR3CckJDwRYgVooeoeJYCc+9GYXH71yvcXMWfyAbr44DG2OawI0FbLu2uEO
nXwaaJW2B+De2EjpaahQxcAskPtccY9aFaMk/AJPbqyeRzCJoOxdULhCtudS62SQ9gCFWVE/LsUi
nlwtE39rZAcpifwKCCM0bPlE28rDLHN7Gmv3VI5aesx6W0UH4nk7X//Wg5L9w6qDmALNagvxLTR6
hwYVKUr1zj2n0T9qMtNEH7EgAvd/cktoCXUj5TvQ0vZhJldnZyu9Phm5y6DIW3sWiDC3sEKDbSTv
2naARufqEFdV91gb7t7JeHMUwFdOXiRPKH0vF3uTQXirpsQ91TKDGTSPVZDVZrRz9t3YwYDJAHzo
GyCy3sZxd2seO7WVcxLp+A3PvPfT6lZusuSJEMJ26e1D6NYzsZ7YMim1AAY2hWCS1Zm1xIN7wqbX
vZciMw61Yu36A18fdag3aW6vHAtSqfTLN1cPeolLSuOeIkTjI0XuyZu0j7PFgQMCszKxrUAm1vjy
9sPdqLyBVFbh6PqA7NGbcT08JGyh6O7KrrA/z8pSfTJUmOchHpb9Q2U5Mg4NfOK/0E7BeYw7ViaO
Iu5h2quaMh3dZhKx78Dy/Pb2L7v52qlxUZ6BxQDFXL6QUbhVX8jFPSUEWAAnxHOActndqWNubMsA
7rz1VU3CPX9z2KNmc6RIbfdkDtngK2jy7gqaML6zjHvX+RsVGwgbvDQ6E2vDeH3gPw7CLDKmmiuW
d8Ig9om/47yUrtqfBPpcP5KNOLPL6j7mtvPBwXjl8PbrvLkDAZZyayMZiCW6eZ9Sn0erKGrgDFRh
J9KLorvGiNMAxnVzLxatw6nZ/dXByzrnRN0EiSQX6e3fcGvd4ocKmPLaL97SL9NOExrBJe7JJiPy
4ERSeRpFiTc/QUY1GYgf3h7u1gwi1xqmAOz/Najv8oWPaMOiJGLhLsM4rh6OTtAttRv+/Sj0Q6GY
OyswtRUHNxjdjwSquid8BsdHpUInizJ5r96++fm8Nc8ANQPKie3siXFPimsshk9EGGiHPo5HjMBR
M6hDaviQpp6yxrWDyVGrez1Ny8cknbL/4fOxRFbvAZLmaMJfvs9aJ9INA1EXxbWHwUiv/xxUuTzN
KqYOdmIax7df7GuhvSlkADwh0L72+4mZvhwvcRWrjhaVbkbjit9C1MlXflbxIr3e0PxlAXAOSseR
5XPbCg3nS8XA7ltvmkUBo1KyF12tjU+zNkgvXJJ4TX3O8+KjZ2XFp9i05i81IpgvEKvnF9Pu46+e
dKxvCPmN97ijfKYpoB/LKEsGugojWRyK7kChRNYxIIWyy3eqV4G31tWUl4HMi8U5sIi0LxnUwZHe
u6m/m1QBRGa6ArQsLUGPtbw097bJa8wOaTHovYfFKjjldpY7MUoxGa13UUu2vS+6Wf00Zop10L0h
wBZdb8PllQJvaV3zT1FMqvR5RojuOP4V4q4cS1UH5VdkjtNtleXHVnV7ymazHocnW+/H92qrqp9M
KVwjrJcMEroT2MaQOj76aV1giDhgNWkm02SH8YjZ5b3bthADjNGsPggyXt6BjS5fVDQ+91pX1hjE
gWjVxxzereWr0laPc7/on4ahgH3fV62ArYMA3jcLpfj99qS6AevAnGQX5MpFI45G++Wk0hOnyrOY
DT/tXf3F0AftSeqx5juIXI62JjhqMeB7iHH+CjQriQ91OroP2DjEoeQS4rcidl4sbB7+ehvBN5Xb
JmxlthI+5+XvUhXTWWp6PydS7xbfy9BW04jZq5yuyZSr/xR9WNhrWEVzr74cJs+tFsYAGlqnL9Vz
Qwj0fVJZsFz73A7LfjFC2xu195MzF49xN1t4HEz2Y6zGRRDZSv0cabhSZVVav3SKp33rNCu+V/o+
20G4ro9lKiEV8gCOYAhbtoYEjlO2SzXFqKo6cEeSv9M70s0Vf6qrPRHS9XWfo5YNFW4VCgWENJdv
RFWquASTLs+ZaSSodObuAFVYPrjQB4CIe+04tmO+U3ZcH00QtFEi0E/ko1PxXQ4ax5HpdTOfYSom
DKFpM2BQL/aos9fnLZ5qtA5oDYJRXfF0hDar+SyS4mzlKQFKrXk3F4hlpjI6Ku7k7NTJt0aDHIlb
FZwcGAabFzlS8gtPx1tm0HKJ2StGe3ql4X+ooYEprfb49kp+vZldHg+4fkENdpnNrJnth8sn7r9N
OpZntyOf0jeMwhH0Rur6pdbySfEj5KovjVE095HI0Dmx6NGyTV0GNaYmhC2AwgTzwB5F+5Q33UMx
Cmv0xwyhik8ElPKcZzae3IvVtMDimfm9g23rHkZVdMXBXtoID/B2bp+HAoG4jyyPIwgL8PGHUA0U
2COqL4CxNeNbDPNIm3RZFOAy8V7EuvJRnXviJwqP2A9/IWLi80xl1IbuKLvvZLJj5Jxp0vloaRy5
IeocD5uZzp7vzKXRvluL137vo8LDCswy6qcZM/3qQHE3t2Ejxlw9FIW0Ej8XpLsPJhOBlmwsP8jW
1hA9jLPe+uXEQwdGMy2/Ytbb4C8kg7/YiuOQ9qFjgipNk6NO0NARfq0uvU23GwHlX+97lDOk0cMr
Z96wJ12uhElJ9MWUdnmmtZgEmrEMYSnKvZyrG4ucOgJfd74QINQ2pUmDq1dLSGHnGJj7Y5w4eVDq
RXOSqVYFCCbSc2+meyLeG4t8pUTy36pEoWi7fDTdmyjoG1md1RhnJmTj2cHq1b8N1EKSQkmP/R3B
OXjyb4Fg6F5eAeO3Os+4OR0xyUsPlTQxpZfJ/7CfrCLtVfyDdQoim8sHUhQ7xTKorc5JGi13uWzu
C12OZ5N+0l2NAmrnynLr/VlQE7C+oykEr+tyuKTySiVRjOosslYeW9uNjiau0DsTcJ1gm20ELOH/
Rlmnzh/XMlopREOUEw+FRucQsUgf5QgtrxtIbAbi6A6YSSfHdCFn7u0d7MYht6LMoF7Y/HAr3Bz5
XVrBA/Ic5kfXfyBPVR68Pk4QLA7xXwMmKPss9ORccMG0t6LrnPiPOYFcdZ5K6QUk5hSI98m4mxI9
gplj7enEbj7ZH+NtjrcW54ymk4xXG3b6cUyJvyD6fTmPed7//UkKcgemChDEYbqt52IjUWHA5uJs
KBk5SdhgB7aSujtXn1tTkQHQaa1WsjQ9NpNkGDIbwpQ4F4UdQQVzzEPbV9HfTwhmAY/BF1pT+TZT
EVwoIR1cq84lXVu/MJTxvnTbD02kFH9fXzES7FPceV87nJfPEyVu71qdWp0Hu/ilZY5+z12JIGkj
t3YW8Y2q4GKkdar8sbwSDbixly7bU1yI53joFIKWHEHj3Ejv4ly6j28vqhsXZfY4lUsqbCZg7W23
EU9A0c5Sqc6ZTN0j024+c1lug8rBvojqVx7JLbFehKOKoLScb3WWLz/f/g03nvlVmg8ZBtYjBmWX
z0zLJYX6bNdn3S2GOyzyvaMzLsZxysr2rm4wSX17vBtbGNgufknrGcoU3cwbwDcv85qkOa/WCsEk
Ju2dItXIL6lf4DfkWqCXqXUuXDzH3x75BnwIuw9VI717Wg369lGFaJzYHfrmbBZG8i7CAfk0zQKT
c7fUg5x+/VEnzcS3LRDFvB6sH6URL+eshpicOwQqm06e7mx21zgbSc14+64XnBVN1S/ffiFAjtvZ
rthtphfiDU52q37Pa3HKtOwxE4jX4nn+p1TdT2+/ixt7BL0E5h5o0CoQWv/8j5lOxvw8ZVEnzkCt
5edmlukLDt/Vznp67XlenlfUS9ADqWJokF2f9/YyFgn7xLkRqeEeBkNSCrpge75eLTT5a/T100Fr
Z1JNM0U0KeBiKgt/1JmPda3+yLTG+ZEYdH18KB+J+SQtjxD53kTJFJBX3zvhFHP1DXB6U/pwLCw9
DTsUPgAcinFooUx9Rf6XByPEjOKIIRm4cBK3tvoYJUb+M0Kj8pzrOWSSoSc+GYpQbvhLhK2Xn1hG
+dku7eS9N8jhE55Szc9IbXOT4AWlOS2LVj45cmreR1btHAmbkE8jMNBjjnB8ZBZr1vccYhaZPDJa
Wr/t4JHnWtn9Vq0JTs4MwvrTa8j68BvDHouA275AAFRlixaoY8d9emRhfIPpU9q+6s7xf84w4Rkv
HPI3wpjJKEAg8IuFjfU8eIR7+0OjqB9lryZYGZvKB96GmQZGl6W/PRKaB+LHM/1LoSckTQkkAz91
Mlq+UvuX/0Gfsr/+7Rzj40MKxdt9Zbhv20hJsbQ9yXninJALeCBquj/gm67trOrr4/tylM0KUtJ+
hBlTiPNcID9wpN0H3CbyI8ktYmfrul40DIV948qxRc/lbRZNM014HSLgOddRrKDWMIygxrZ254Fu
cFyxE+SeuJInUchvneClKZOU+OAGn6DiK0zL5sksF8xOi8b9J+rLlCN9yO7iyRjul7bVQkvNbCKg
KtLJk6K9M5LGftBrewnLwct2+v/X+xW0UMoXjkmwDkqYy31jomEWWS0LOsobDYrZBBF+GgV6BaWV
D2RiZI+datSfy9GqSCmR3U4H9Pr0YHxAIfiutFvYxS/H79wiHXrQlbOZ9O6vqtB+2GO2PC+tpeNY
qiGdU3G8smjj7XyVa6sQxgOeWO27qb/Z0y5HdrwkN5S+bc7D2Fgtm0NpLZifY4IBKQQzhsmtk/lI
JEr7xYbwW4SqbCr7jiS5+DFpnbj0qwGI0CeGRwWLRluAl6IiPlqRm34ma9L6Yknk5r5uT+w9tTP0
D27VZB6aOXuZwmlpk68F+m74zg2VCPb+UjdCWrjDnV30CYhBdJzUsvosM3d66uO+Un3yC8zzgouM
GtomOUd+P/SWe0wWdHjktNRm/rhobfVVrdv2nlMz58qepo0e0GO2P0CFysfAMpb6ZPUkUPqmm1rm
XR/bpH4KDigZjlVNfEtca87sWzLVRdhGdofkWyMVJhgt+g0+Rn5jdZgkLfkQzt/0W6+N6R1Adm36
Q7vyuKST23tlhs3n2Jw8rxrsNTKVS/Q2ziFfbac9a2GipGl90BtPOeQeWhWIaGPo8Gg7e8NatlyN
hy8Jyl+WLWSjy+khkqSz+9pszkDu06noBnHfdsZAW3k1t3b07E6mrRe+vcPeqB/xCrLoj60SLfg4
61v44xh3Yj1xzXJqzmvJ9sHOaTVUsxzeuzaHAdBNfT9pBEsSRjRiflbrA2CtNe9UsTe2RZ6bSyGg
8KoB2OwJaeP2do1lA0LGpQs01mfgJNEebfv2szoINGAdwSPbgs4ewCOuAWpznmi2frDMwaUuH4cH
rvZjyMacI6mMlydrmqZD/v84O4/uypEzTf8VHe2hhjd9WloA1yJJpne1wUnDgvdAAIFfPw9YpVFd
8A7vZNfRQlXJZACBMJ95TZW7R1OO716e7yt3zVr9cQiTn0qHm9PHmJZcS1MewSpm3RdqMbIN3Z9m
Od1CQFzB9lMDWhcu5HgKr9tWd+W1c1Rj9XMnk6bGexaA1OuBuo3q09/olqAXwD33eZOq+S6igB4s
mdoe06gQPxW9gA0wlzK54X9x9fVBLHL/8UC4Hl+uNmq+WabqSnu3qFO0X2LrM6ZK8YPmLdaNsPjq
69N5xk9+LbPRLLocyoMgD5S16e4EwN/02JQ4vsDOM/MHFNh6zFQ1Y/KLPu0xDGtGAMB9kr1tbDAH
e4eHd/cKQfctMNrTEttucrbautMg9VJdunyqXFtsuG4OT6WL6rdVvaDb544Vf9E7rbh3i1J9k1ki
r30jVUHHZBz4vhLXWu43Sju3e3T+x3sLVuRRLOMEHl+pfitGWUDuwngADGYET2WgEP2/OJxQxSUI
U7E6wIn78rk7XasT0RfdHfo25iEdbXen1FqFmnCjHZI+xhxsSbvzy5vlSvtmlZegkgmdji6OtVku
Q1o3de3N3V0kiukexx7za29k7eeVNhF0bURr0vbk0W5XlYRB8FlVNL5YzTMywXaNz5edNWfHbeWu
pHSH4aSu3CGQY9w4v64w0UhQoBcCrVr1Iba4im7FF4yW1d15aZKHTW+Vvmop8UmUzvAxRmIFdXbz
fd9gSBH1me3LxBsP1YTE1cszduXOQusJFMl6yAFJ2sSXNhpfcFT7dhW8B8RppN+9pMrx48pTivX2
jVDq2miUh1Y5LQpuBJqXi8KK4olrnhuyVoz2bZK3Iy4TOJlTRJ+C0ZzH08tvd+WaWG9GgAeraii0
v8vxmqw0pD5xeOZTC/UHdzN/roS5f3mUKwEqSo1cxIDHiJ63BLGySLUJjAP3MGHS+x6Ptz1cQush
zZc5hJEBt3opRWCqYtk16nRL0eRKfHox/OaEWAB6eRgat3dDrRW0Y5K3GLq9XyA/QTa6B677e+tZ
b3/9lUmy104B2hZId19O7JhWTKjjtHdeCVq9pn4ajnpr3UVJVxyXaBj8noTzNNuLOHiJpf16JZAK
O9cBoEjoEFCDL8fXjCit8AtGrsarmyBqBtpZ7dqqkPBIXn7Va9PLDbx2Cjl9qSBdDqWkUumiuezu
NE9ZTkON7J7vqpO886I8PZeNxCIw04d9qUa3MG9XAjyauxBWqXhSstlmZU5kOVE2J/1dJZ34NOa9
dojNaTiMujnemaJvT/ZU3sKcXh+UZi8VcYRIt0C7qcxjzyyi7q6iD3ru2kXApIvM86g03S6tiD+K
+maT+Qool4Y7Z+9KcIGqumUMYD6YAQ6u+7tO70kG3NIYXiOY1pw97Jtx87Lw5Jmz+YRcYnWa1Ol7
ATDqCIDhg2UX1S7rFTOMRWWFk2vnd0ZiKDsqDtl716rkjUDhSkgCQmy1v13FCYg+LxdEFkPepM7V
34nK/kyRbt4RJLkBJpC3sLdXDhYTsWMgD3RgwDxudnYklqKbJq2/o3Wqve2SJvVTQ41/wzunCatE
y97IQhQ0SZMpjIc6Pr688q+sBLrwYECQsGajbWXizFYQc5n1cDcmYIPiSMiDaPLGV+tGoVxsI2iu
o7fx8qBXKqZUtYA0rOVJRIu3L617U8kRzfTaUMowxdQKfA46G8cz7KuwD8uCviuWXZGnQwgEgot6
KOROL2CVDOWIjhSSs3/6pv/Xj/m/48f6zR/xVv+v/+Hff9QNFpFxMmz+9V+vm8fq/dA9Pg7335r/
Wf/q//3Ry7/4r/v0R1f39e/D9qcu/hK//8/xd9+Gbxf/sq+GdJBvx8dOvnvsx2J4GoAnXX/y//cP
//b49Fs+yObxn3//9rNMqx3SN136Y/j7n390/vnPv1P1YV156038X38d5c8fefhW8rcf6m5I/nb/
DXfc8f/xlx+/9QO/Tff+QT931XQELErNhL0zPf7xJ+Y/oFGvGFJ8HmAesWug2w/JP/+u/2Nt/hJ0
U+UhtVxDkL4e1z9R9H88cSLWprRHEoR70N///ZAXH+0/H/Fv1Vi+qTn8e55mPar/E0vzK9aThWbY
qvxFe3ZLl0F9ACyPMdWhbLKJsrfWHeFZmq9mZJD2PcWCYJ7AXGJz4Z7rBY0Lkixzpzll6eu6kp/m
Mv89pqrx4y+T+edz/vW5Lrf502NxzBs0jumdeVxnlweKUrRC2jBHwyYvEIosDCMs8qXZG1A171Ph
xAcaXwjU9vG0n+Kp2b88/ObsXccHkA64h5h5zai3iQ96OGReyriEuVNC6U6nDHVX2R9sL+8OSTL1
hzTrxXmsZ0X4OLJHgYXO1n6coxYvnal6VTSDAymkIL0oYcmAwevOSlqVZ5yS4xsh5OXp++fD2rSu
gLZQg/DWyfxL+aEYXDa+Uy9hlzUGavbKHCSN5+IdWt2SHdkE6X+MResZFtfKZnvmPj6YWj5B4V/C
GPPifZun9iGK0v590eMwGKdEW2kqswetNevdzJR84FdM93NazDfShcuT+M8HoWW2fiCU1bdxcwqO
sC4UR4aRIT8pTekFli2aY9XmSpC7kD4p5t+iZDwf0zZXmgxK5CCjaNhcTrRHiLfk7ixCD+TjGzOr
qp3b6UYgFb16a/S9/jVWneiX+q7rizLo6qvp4iOA9v4mf0Npt62tWBehEQkV+2BZn4oOe9gBHv8v
5QZ/DEWKiFwkDHbgNZtd5/VL2i5pL0JHGcsTYNXxECvOrUB1I7nzNAwDoG0GHYN22/bTNbMyGwod
x1DocLxyN9HOapfWpyabY0RhC3k32GOOSlapHW05p7v1y34bahRQuMysz31auEhamTIQounPLvIT
O/Cnre8KPTkg0prEmJ4n0eeXD4Xn24wSCChLTB0RUX/WEHCILubIbdB81gZrlyn4uMZd6gSjRy/q
5aGen8r08v+AJ5AHP1Oj7cpyIT9KtdCYRxzZBI5gSMbfkoh4Pgo8CYJL0HC8ExTqy+Vs6Y0ErWqo
oaBmsYcumfhDI2+JoVwdhQYf9x99XxRmLkdJ4OwhS+CqoQNl/CBbvCiNAaL+jRl7vjcBF3GHru0Q
AOBb+KdcFlOD+q+GdjpatDRltHwvRZqxtBrldWJT8wlSAcb7JLS4tfbxiAJVO3W4qHs1trURZYm9
PajmY15Vc+NrlToNO2UhpIrrEkUfMJ8ssR4p2taHZCgS33YH2piVUOe7XgzS8LvSQEPNNqrxyzib
6rg3vGRALKcZ3VOcW2OzK5ex9qgdzskSaFJXXMSdcwe5M2zJYXr0yAWVbW8F3jIlFDe6JZ4OLRz6
s0hlKoOym2Zj35p9XQeIkxcHq1rqj2AXzM7P+qRpA6tvvFuezNemlo49GGNieGLQzQmUzXrXzaKX
4RJpP1BGHz/o0B3pjTdaMGKb8clMrV8T7ljPCKjfpBKriCu0U2tz1MaWpeFRMMrQiZTqoOKUsEMQ
2g3qWCZBNojk/PL6ufKOK9ZprcqtmuZbrpvTxWv6zDtqJuaXZTPJt0nZaP5k1XkgamcOIHPkwcuD
XtkapLKchQZtXeOZ5pHZ6KlT9pkM1Z6plLLVfQeC9O7lUZ6fW4R3YO+A+iPvzNtdbsC0kEBohJzD
oe7ak+y66EOKdERQy6F8//JQz2fRxaYYFVtgFPRmn6LNv0Qilql4kN2iNpwbLw7ATxeHAvuOYHKs
/D7zZuMVYbJyQ6H9+fsRQ0CDgyFJVYDXvHw/9GMQcZuNLuydVp6sKauDQSD/gTjEjRLPZd1jXZTr
MbkqKa8qL8+0TobYSfRs7NpQ1+m/+nkMj95XOqG0flVEdXlAsV9If1QyIBTokGbejQVzWSx8egDi
PIJ+JIdW2vfmVeuhdq2RjmZI+wPJpFRBhtDyhn2vaM6hRHrkfzEejQ+qEOSeIEe2u9A1FTNp7C7s
KqU89U7hnQatqoJypHgnRtW+EdQ93xDkO4Q7NpH/2lbeLFVbNtaEDRVUpMkrz6gim/tYER9eXqTP
J5FB+HxPHD5sRDaDTHlZmm21lGHkSMyRq1Z77cWTs5MEYmeWwLR/ebzn6xOWMh+LJI+mh/pMu7EY
U1W4ShnqwzwGwMQtOOdRjIl4cktr+NpQq4I0FUCE1J9J9eVGN1OfmMpwtK1HA8O4U9wi6hQ3g3l8
+aWuJAJEpA6yxgzDnbCthHgS2P5ipm04IcD13ZEiMQIDsYPErzHGQNh4rjJ/KKG++nqt4680soS+
k0fmv0WJVt66/5+fPKxPtuS6R5nkbQ60RKkJ59ZqQiD90Wlw1ClwVKvfUe5OD8irpL9VmEfufn0S
1rSL3bFKC4PFuDx6YgvT6oWXDicraU/JJIcgrhvs36QNmmCGKlUTB9whZmrtiqkd4NFX/StR5urh
5Se5sqYJeVbmm0WH6dnBIOYJw9kk68KmUMojyWvht672CSvw87zMzY3RNk3g9RwiSUALcv3woJHV
9Wv85Zy308lssCKhaoBTyScbOcM8aKjX/YyJqHB4VKqi8qupad5ie+J9QgYxeygzAvMbH+DKa5s0
0zgxWIvPM1937BevKdIpnAxnBK5mNQiktgY6RyPml3bz+y/P8mrtRyYG9AU417r9/vLaCMQMWTxE
Y5g4tXfQ7DTZJVZjHQcqbTTAy/gG03o9iS6LMxy5XNjE52sh2NmcVGaV2qocse+i2OD6sQFmwGpQ
ZHz5ra5sHXpu2JMRQK9bZ5MGOFNVGzoeMeGcIYmdIP5zFo7zAVmufS3jV5EGnfvlEa+tH4IEzkP6
JWydLS00A8Kip0ouQjtLAX5O0eLPhtEH6iLFzlxy+zhETr0Tfd/fY77iHfuIdu7LD/Fs7bBwAJ+g
bUAhw6Cme/kxKzXN7LTmtRu4EK+ycan9vC9waeAGPnat8/Xl4Z59S4ajlAeXmg4R4teb4WLppigE
KyKM5eSeZJaVAbzfW3ps10ahPEGsTilojWcvX6rUUVBXFClCN8cxYyhN4Zveckud6dmKWfccSGnk
LyAvE+ldjjIkEwx4F6dGzYjNI8gvjFmStDpGTpu9bs32k1cbtzqKzy+cVabUJAKjKfsUklwOmiXK
2JZ5N4UDYgN+bDX0EMlY3mroOVc+LajsiOyRSraM/lvked1rLHrUx0QmN63OriwdivGYaVCKd0Fi
bGZ5MJUp1Y1qCquo8nzZ1u7ZUUTr117fndu00W+EYVfmm3oTfB1GJIp3NvNdo32XDB1LVZE49bTU
Sh7aeRzP0aSLnUzr9FzNuN2+vGCfxRIAmrjfmXKmEdHmzeEzjpEYKGjPxJoAG60mlWdbn9+jOXeL
lndtJI5UalsUVSg+bW5RVSs9MRidGmpwDYNlIguuhVfsG3CMN15qg2jh5uKtwA56VJXpXnKOb1ZR
bIwS01HKBLLTS5+uWIIPha4fErTIjgLowwc3T/RXGDOoh85TDF9JC/MNpds26MdOO/3KJKOXSBsV
KAsvDpSJpsO60v5yo9AlNwcjSZKwix0gpEmL3sDY6XsArdmNRXQ5y/8eimOXsi0N+W1Lfljc0owh
C4U9lKyjopml30bJtxKtuePLL7U53v8catXn4UbB+OkZ6i+1MkQcS4ZSxsZP+yX5rBrYV5WqbQdm
pmu7Gax7GE0of3eRPLnS637p6vz3I+CySFkLpOhW/bRcssydGiZ2tgb3RHKjHgdu7RvL6fK4fRqF
kAtmNPczR/oWbmhmSTQoyKGEo6M8ei0GczmuXbem89Yom+MGqSpIObGMmU5bfpXRmB/l0psHmZFA
WNEoTjSK41d2bNiHFkeNoNVsOvCR/GJPChqTehG2bjrtXv7K156K+vuKsyBZQxvsculij1iK0a2T
MGt6yCqSjlA7Vd2N6vfl0ffHDMMUoQ+mP2HwNvs1toZKtEmXhGBb+0MtamjCzTurfTDLxjwUKL/e
+KT6lX2ySqqvyghoPBHXX74XzbgRQTU1DVOMQPdLg3qysZrHUK2DEdFq47FLMPjTZkvbFXNl7qAb
Fm9jrUnvl7nPAy1O633CG30sciU+LpMz+EqjiV1qV9YqllgH9thnGA7o+R6k+OQvnlQDsRjIBqdz
fgMqfm0z4meKhx7mE9SatnFON8dLPXhuGsp0WvYTqqXB6BbNThReeRjVTDuVZVn5qH+a98JUe0wM
UIV8ea1cm1O0E0gWwfsB2d9+xUppey0vkrCQ2nQCIuf60l5ByVYd//pQ0LhQrVoBAlTWNp+vHfJ6
yFJoO7jraUc4Hj8MrJj3TZe6N1bKlZcizV5LhiuyjqP8cqG0iTZOo3SycPbG9iFvKvW3dHZ7v/SG
W36LTzf8fzKBp22AegqtEmJH+rVbybF54JyVdZaFbk2kASQPt/kfJvia74VidPVdiehrgIFJ2gS9
1VSGb6YR2JQ+1YQW2J5RJX7FSigArJqxg/58j/BVSS75MZ3a6K4yoRQEkQLh4qDrcfNaDDCTMDpr
RzNAHleZ/c6KElSs+8VZE7viNYZxEmeEDulKrLHm8mGJli9RkRQIamVum/hpV09fVbeMQFQivlX5
WivLT7FsbD+tEmyP0nZI30T52OUw/wkex2Eu/R7zkUOtVtHeRSDl5CaqOItGbT+C+zAeXC81P7pt
3zuHqvfMBVUSJTV9Ny2Xr5HtoV0nerX+EplJ96nrnVzzhRb19Cl7YzH2cua6AL84oIybGYVFNy1b
knZvJIi1AEk3xJ0nDErpsLG64TSnOvoesYiRmKvyxfis2xnyMbqRWTcuq8t4cv26T/VfwEU032j4
rCvtL1GABLDnqsDzQ0U4ZaCUvdz1HZgqqagP6Vgav7xwue/s1X74qcK+5VA0iSfjDApU2Ff1FKhZ
7u6jzIaKgHzYjaGeXxIM5a71YCDjMJA2u7FE8qDtGrsMBWDmQ2cV8bGpq58vny7PqTrUIyhGIFkB
JAzjzE0G25m1HdELLkNZuule05i/iRLlHvGBXaFlr+Ou38Hsy0IAUtpOoH/0gOuPGwVeH/dBno0Z
XcM2utFSeAJoXW5a9iu0E9vEOuM5bGcwsR+blbwKzaqN1B1CA8MO1YTqXTSnJQYS2Ii4D7nWueku
7oxxQSE/9+7mekQjjfA1Tf1Mqcwv3bjExRE6pOOSzOkdKthGoyQHzZreVd6Ijn7y5BxLyU0iPa0r
HBC168Dr6BsTP89mmBCmhiYljropRKjWQ1zugJsKe1epgJ0/aOVS3Jv6HEPsHlScDKv18CjRu/wZ
yXHAO48mTHescMS97/KlQnKswJNCL8u89R2t7z6YppB39ezOWSDxcMf8sEcuELJgpGN4btJRAyLV
519ypEX0dZOjEJnESnmrbfTcph47Atg2NMxJ7ultbpZC000EpHbXhbNwW0DVanboKls5J26NuSXQ
5b0BNWaX1TpsBbiPd6poxmMkWyUs+JGzLACS+baiDntqqPrDnPdD0CWWuCdLyfYNCrlB6Y3FO3NK
vI/KVN066p8kCi5XDY2g1R+P1heX2BZcqem5LIxM9OFc99Ybi3D5Xco/Z68wI+uNUKpkPxmLYr8b
zZRw2qvslghCifNDlg/5gSxZnw7ZSJ+ML28g0RPnYKfxP0YkbilUHflW09wrokNt2nEHE9nsMa8e
oVwlxme77aXOEdeButESveUAheJ5S8XgeVBHJYRcbAVyQlzf7lcPnQRvcHvK1EZU72OZy1OkFgvN
xBIUnVCrQ5Nbt0TXngPhqb8AqYJsCbYBw8PNWYQOBR2+IqvCmim6y8Qsj1NUurskx4YInFy5s+Xq
4lwr+GDN1g5B0+HN2LfFHn2k+IzQk+M7el/dKbhE33eJpnKz2bftytbA+XIBUMVdbeGAgFH4MzfB
UtehGrBEnGZTqjXVvuqKLoh1Ve7VrrDpGg/G3iy66qDNpXlaqIwScSx0v4xaHlKvrwD/DBhrRam+
K2p7OYjIs48ZmxlorJnfyAKufUqm1aXoBBsPpYPLq8uleDYjQVGBPcIQdphUm8vWFYe6aty9XhTT
ronkTRLS8wuTKUKkiKLBukm2uYdN1oiYOi2VbpbNkc+hPFUNT64wFORuLPecmx3GyVMSfTJFpB6j
DAZuib1mHJjN0B30WGh3dgyQcuBgREKnzo83LqX1pNl8RgyTIFyDFuIkcjafse4wME/ytAkTLqST
knRdQKIKtdoq0Yi2zG43BEolyqCe0y+5bd6oLFyZIji/IFUIhlf3j010GrdJ07du0oQmjmsHZNvk
/ZR3aLkuTeRjhHerVfjcomyVFCcXXnVXcF3d5k3D7JizatObNPV4mv0lSwyo04024TpI+PPR1CP0
XZO4iF5rtet9yvrGfTOYU/1GKSjk+0aDdlzdj8u3OFm0b5qWR0PQs+bealWm/qBIlcyB5fSD9I3O
VT6tLZfpRriyKQ+tkRgztroKUGt0YGRsPlrZ93m+jGYVGrjAHc22afyhNuaHpXJeI7PRnIjknLdp
6YE/Hn7wGs4Q5HFh7yGNNjdS32tf8K/PskmwrRJ95SHqKk5JtCjMwgV9UpTeTqti9whQ6VZV93k+
w7sDyUL+AHWsZ4mibBQasirvbpmVdqi40kNdLcddl9TDjZbDk6D0dnOQYlNFpUIEkm5zTUOlVLMo
0hirzI39UsPmlqBQMbMYpmBuMvGAig6i9BCrT0o/Lfw3DyesxDJ3MWLYD0a7FIdyAvgPUb/Yu0vG
LU2frkblOw4JLKx74pTi5BTjdFi4D06DkZr7QTqwikbbBQ7NZy0Ole7iWaIqP1W7KM+iWpJPFYoH
yMbm864Yja+xJ6ODzf8LqskVN6bheXRsgSRcXVlXNSH6IJeHp0KXu9Uip4LslDgwdHumYki9w8sn
0ZXvavE5qTCadFuofl6OMijGBI3dq8Klz71ju7Q47bRomaWm09449K4Ntfpf8GUJwwl6L4fiflmU
SWnr0Ih73MOqeNkz0hKO0dDcKGde2R0wz6njrjBU8J+bnarKahEJ6r4hSmCgPhAaDDhsUdGMuHPc
HNr1r88i8GhK4SvsH7jO5at1yF/28Pyb0J1WKLRdQgaPiavGJb9lr0Wzhl+22R4wrh1iI+TFIVZs
Dm/q4U5UxsO0zmPu+qqWljaNjWXSgiTRcY/pBih7Zp54RSBLMET7XlXsBzBvINu4ZLxzIzy7ezAS
pVF96t2RdZ6Ttrwr6olFVk/2/CFympIkqFTlctZ7jtw9Zl6Ndz+AFTpNnWO9F9OAWWxS2zOKpGb0
qpJZl75P+8z9KWXSVn7DP4tvl0tYyqF+L7towOqnHObveqaZj6PEWG7XWVhVaq0u0Ep2ZPcxq61+
PnqDVbyn5A6Arswbgx4yIa4yo0XFF3SUzx136xAMffVBz3JVQ7zDarlIuFQ+qHjwGL6Eob/4dWXF
PneEI/cTBInvSwc59kAQr5bHSk/N8VAbcXfy+kLN/BU91FLIaPWe2F/iQK3ade/AMkzy3l+0anxX
W9r4IcIXddCxQHGHeIGmT3SAFp5K4aKwXVJkzAcnUA1kXa+HbMmhfCj2KyMbnNQvFy+2/ToqFX03
E9zCixIIRO8dZELig5VH1uBrDWYEYL9yNchh8qzpRamfMI43kBJERtn0aRkMmERbGCclXhp96rol
w+QI7fXvWpGpMfY/enoQ+eSs5OsaaQ+3KhbfNNpozbmy+YNSR7E4ULaMPyArgmrgIKaiP+dUVz4i
qiS/KYuCWYJIUDRqzYTWa41UhRUknVW/y7JuAMetFMh94eNk5AFXOvoo9VJhVKTGys/JFItLx7+a
Po+F2b3x4jr6IEVs/1ZGhQYQshBJFnjR+NruElIkRUnczm+AZScwpwR6OgOJoYc5Tm/BXCZCGgNM
0Wz0W9ER3NuKmar70smVO3OM1Fe1nMU5bbwl3ad1nMVHlyzoPbYlPNQwzXYN08hMKz8da1sERdtV
Md5yY+4EuCCZ7kHv3Ar7xWaVt1XLGscma4gPaVIqNBJlov420vZnBQzpzKfqmz4FN5M2SAVPU+n4
qWbllh8DMcbMDSTU49xNxsear4S9JygICsSZNqEHm9VquY+jZo4Cpa30z249eY+09SN9ZytdZwVG
70b2btEig3JALL3sJCOlDeZs6cM4BVTpp+Tl3W4e9ZrthUH3vQ23269pjL9Leyo3YTs5ZYT4hN18
pX/S0y/K21TxmzquFF9Sj/uG1gue2tJRHkQX6RSRxqah+DDaKOZMnTADJzWV9gQUFvZ8NuTqTzrW
QBkcmZpoXufO8CbGilk/jsqS8ISy6u7nuDIGH14WpGh1jONP3dQWu1Fv4+GoAn37khm06HF70gYa
Pstsd9+Q9CntoHHU2GD9tHq5b6iqWfu8XHBiN8ss9qH423sdNXFcrCTOvL5VqaX0ezQyPozj4lnw
o7uIq7czi3DWql74o0Eiu7e1eJl8txTT/VK2CFbmeqykB3yVWv2Y6oSPQ79YdWAuIH/83rDznMjT
XN4jPp3sPbEK2bmTjuNYBbsxtFy0ea2hbn562lQctHqZ28PYZrCde1dGn4WVtcXBbWT2qdAa+W4u
NDMwbCRs54lA3s+QeFlFixKj9u0+m4xdBtbyHVbLLJ7CVtsd5iD5WwzPKZkKMxFvpexYi7Fe19XJ
c6LlTcq3BUvMIccPWOlv2lRZ71I1WV4hFF7S0G7BHHI8VPYcrCSi+F4rpuhNzlyVnIUcXV4/iG/1
VKMF40iNOltiY+DdW61h+p6a9MVRXbCFDpokLZAzsBb9pPDlYp9KYV/tSivBpTCnmuCdbTVvHrxs
dvrAm13sKjthJd8UJETwIlPw5vSrvI2snUOW+mHWuGsSnw2Ue4fcRgqZukNW0Vslf50OY7PoP2O7
cIM50lmO7iJbZmyO7HH/8g19pQyIpt/K0Vz7usjVb5Dm2qB5nW3KlgC20f0oLrJzkcVu6NRWdm4V
DD/tCSE1iWbPQasi1vOy5HtbjFogLJQim1S8MqBHn0xLsX++/HDXIl645EAyVsoXKsqbRNmKLKAZ
FKfDeCZ6QkjGa15HeLeVvjYZVmgtanHEwCZ/AFsxkqGVAOfgGO68cQGUXNn6fdT2yo/WZSJN4F5Y
yhn1fak1sPQXXMt9EZXNcexiZneu7Hd1Xs6A1pn0ej9ptvMxieMKomC1uN9QvKWXlbTgJoBb2Hcd
Jgk/zaXLPyy61SbHMeqwMEbm9XVVpDOF4X5kXb48IVfitxUpzFeCa+KQrlzGU4XaunJCVoJ9bY1o
FIldjdRREPe4uGStdSMwXaPBTUCF9BXZHfJ68Fq2jqz56GRaifN8WDlogIEogjsm8z2x8BtzWV4B
vnjz8uuta+3ZgITdQNfxuUbW4PL1yFOTOh3zJoxyqd7rxgghV+uHQ07kuFtsp91rwEJDmS+UbxDK
vVF7vhJAAs5ZofMEj6uaweXwClbaqaLggYPZZL8jjUp2bTTccoa+Eu6D1rBA49hAGNStEklbGbM6
KhBvjboSgdJLc79U1GJcNZtvLJcrRTGyJHAoFBko8m97Fv1oxjR/V47vEk1+nXv2wYUF4BsS0C6d
h986BWJUlZvixoe8tnLc9UhZNTYh/W3WKUjhqKxypQnxTNSOXpzIsF+Euh8m1+MwXLyHRr1ZBN7w
D5/qEJCNPIP/UVSB1nL5/byxHKtcZEheVFUUogXRH5Lcm14L1RaHcSy0Qz2N3n3V9ksw5GBYTAUo
LmTF6lXU1V3qe1OS+0PVQwqMHSzeGnvY4Q9PKBYB23x5rV9ZBs7qFAQmnXLuM1K0Dc5KJ0Jqw4SG
x060hrWftVg/cNyLG93sK41QusN8BSoRoAefGZyaTWTPia30ZBx6Nh+MtnUy0CTJ8NUVmfZO2sj2
7eBnFRGGijMhQMuG13xF1M2qVxPpiGjh47kklnNeJlsJNLPtvkd1P/8epaPzdcy1+jVlkk/T3M7f
M3PiuGhSy/ky0bMgc0IcEB1X10FdgYKnFvvF3NuvYkQPnUlYjZ80mRbqONv/oF6jDT4Ky1kbZKNM
vyhich8VkdKLMpf5a0fOTwVwcHSq7oNCHWl25c4EtpHtRFw1lj95SfxKqHr/DgJHXGAIYZYtXd4o
ekxjgcS2JusUMDleZOkd6V11EHDnsS+MRYlbi92OPvdDdafH6KYs6YKo5jIjw+WkzJ1v9W2rHayk
Q9EgRX/TTyJZq0c3b9H2tZPkbTdhdd7HmvNeVQYCF4e+boqueC7LG6fVlbuAmqHFWUVBiAbepg4y
j1WkaRng7TGJ7uEfVV9G0300KKydzTm/hT59vlwRI6NeDa8a5Aq4iMu95WbItxbS6UMxdwyQzhZU
kSQ7zDqGnC/vjCuJ/Iq9ACbgrpJ1NHgvx2pjs5qFFQ+h10/RUbItTrJhPyaVGZ3UjkSYfE+cVVgI
B2/s0LiV/XC0qbUfckGnZ2xb77sReeNvNx7syiSQ7XIdwv2m0bRtwQitkoKW6Bg2ZT6+F4WsXB/8
7+ju50RVziKO+i8TCvGIw+UF+XCDt+xjKXGB5Z52CKWs3jVG0nKgnnsjU1RSkgj/zBuPuX75y2sU
wANTRy0JHixIucv561RdqrHaDaGosumMaU60r+hcIxwz6YFojDpEXzY7zoLYM0Hhbq9M0ccbz7Ce
8NtngLkB5Qeg+dqqv3yG2NPxKhm1IWxjrfxUAvIv/Yhk/Hsfo/fQZuQUfrTo9id46OnHbOkcdw+O
OTniS9vcYqY/uYlvnsaEGUNPGaoT4dOmNNRCWh/R1ETdwlvmjxaSL7u56eb3ngG0yE9ScyDNnA2c
VmxjMcFa9GquHqdck9MO6V09nKYKCJKFlFM45YNHgSc17d+l0ZBocdoNFvB9hsCFuKKZE7UJCkEK
im/4xLgwnj6YGOkWgWqb/4e989iOG9nW9Kvc1XPUgjdTmHSkJFJemmBRDt67CDz9/aBzTrcyk5fZ
mvWgR6pSqRQEELFjm99kRSh1daQYt9zaNxvphsKliQ9Q3RV4K1TtV3UwSyh8tTbcZTXzKX/rJT+U
ozZmvj4bd/0ABJpMVs/WCHpk+7nIXP1La1hiDHtDbd/TujS/qvEIsmNClXim9inFR0zvHFx7hNlJ
BNZae/Jxo4d7MRZrMhz6ftB/KLHM+sPLO+E6FeCwIJ+LZL7NfXdJNIs7xVvnpphOgLz7o8Fkf2fM
tOYbNXtE8RXlu9H88vKSF6jnLRHYBjibuAqHYBtqn2++0QD2Vq/TdOoyQAw1gRhDoQpT01Yt8/fa
6lUBLVf09iq62YlbuneyngvfSWv188s/ynVKyU9CT9JB5JBU+tKaYGtjTUIZphMaZcq+ZlLi2844
34iY11cB83k4UhtElRboJep4zRQQPSmr2CXyNVkj+tCrcpgIhQmaq53MGwnFs+sh2cTEYWNcX/JM
XUHrCjTSdKpRZwoVU6wHw57Fq1zL9AM7Vr8R0Z57i9w+G3kQgCzZ7Pn3BMQOaHswp9MM/pjqGr9u
/Eb03d9/K7i6TEeJFWDmL1YZHBCT+PnOJ7lAqEhaOou0Q271qZ+5Q+jybyyADSNOG/78WRiFr3qO
MOBp6Rla5Joc9iWdur2r1/aNB3rm6MEsRY2XHGETy77Iwlt0SXKkZucTHj9WAO9S3Y1EjZMtGpfe
Gg73dmspN/La673BvAQ6GZAsCwzqJcuJRNkZ1nyZTiqqqcfEq12qakAA8aDXu5SGzY1S4/p9sp5J
DrSpanEtX7zPZMiTGYuf6USG98MBXYi8bddE46zckmC43oXodzAQ+r0LqU8vrlVgcPTrTXhTxRQn
O4mBqO9p0y3d8d/B6fyu+hcAXIWyCjn38q5KYMnmwhMso2ftj2xeuLiTXu6ZE6shGtTmfqq07jVW
TcX92tvKo9m2np9nef6kJHm2GwpLiRq3jCPVWD5MFWZiBiiVcEhxsWvGsgDtpKfHolPjIE5pK1ao
Pr4tK+YWN8rP6/1H84EyegPobSorFwcqm2ZvLUqexB0G+0HaG8u3xlyKgqI4oR+T4Y7U3DrFWyJ6
8foQ4YDTCMVkm0tfJKqz2ZW9qeTLSTUQnOAiXgJtKCe/z+IPRlMCWivXYufk8BjiRr/FNX5mN1LS
6YQQBwow2Lrz023TRBzs2cWfcNJMZqaZQX+1SXZ5P3s3LtZnl6J2pOTdgOSXKMFCNSoY+ZU4DS4o
FbPDxBeWqw2NDxO9lyPjhfjIdqFSqW5DvI14tsEgzx/LQrK+M4pUnMSAoEIqBuswCF0JdbW0T4KE
KzSEqQRAgRR/mfWP5ahMmW8JW/vABKV5PzkZLVtyjzfTBmqN1UllJkcXburwCYR9FRmMeW781NvJ
v9wJm2EkaEIk4a7IY/WsF6uddwJaV06NiWfhW1nJO2h6yZ3nldAOIPQf7DTJbkyon9n3kMk8YpID
GAkQ/vnbEmaT09AexSldrTlUR2nCemc04G4nAMUNI8RWowtf/kbPxF0yXJoJJto+mwbE+aK2BPgQ
t556QhXBOqRyLsJ0cFukOBtnN6OucWO9ZyDy3GO0WmAyYOlGv+x8QUDLY6dU3USnuJfIqWuoVfZV
HUqbqZVdMQ4SE6CwuqiaYwzZ5G0pl1tundcheUMzOQAsoASBTd++xB8YYNr2CoUvIZliQ420XMWQ
Mm7qG/foMyA4l4bkxnehUCCvvHhUr0qZWFbmcqqM9Sdk1uG+LEAmod6sh42wu6O0lt0iTHmw3Vq7
SyrpkaWUY+QiXbJzlczYN1Mpj0PWvjX6LH/j2cmte/c6HIDlxZ+NHw84Lxvg/FWMdryWzCzFCVBs
SYea8m+1pm+rovQ3tvdzK/HW4ZaA9UGD7WJ796Uw86qcxKl1SZHoZZphXDiMlRtTv7HJnlsKjDMb
W6VyuKLm0/PX0rEUqHDkk+dXLvO9vgB/5thUQC+fn+uttHUNYSZuBi+wtC++ccnN6IpRFafVnhEh
QzPy2BW0yV5e5dkHogrdEGak65eVCUZU2jpIh9BAiDxpOQNQJZvF3u7jW1Zsz7RRfstuIB9E3kIf
9uI7La5Vmk7braeBbsO8GTaVssoPWuvor41kKT/2wyLvbFsqIQG+i3IzFhH4MPOVFuvpO1dLP8zw
hX789RvYfNR0WGvAWSmLzvcpl4BV8F7xMCk8L4olnf1hWdydwsrRy0s980mB0JN3EKaAsF4KDQxt
0Q1Lsainvk+8UK+Y5CRj2txY5TrwQob20BHggtwURrZP/kcMGhdUYtpsVaHp1G3gqFays0ecFcpa
BEah3NKfuspveHW/ZY/hWdFWuRwB8d0aF4Qipw/cyNHUOjPEkmg4mE0MaGtogfI71XiXZunKzBYt
uZff6TVWnPVRIaezj6zLxlA4f9xWa7AuR8z2lMmxjIa5Kw6OWNMvnW7Phl9gQQZio9SxsMnsg1KV
yl4xbXl0ZsV8Xea9G5ZyGkLFSd0dY7bktdeOcyjGtILgRec7tmIRJEatgILM9ED2QAl+P8FfaXD+
j8qaZ2qcLyp1/r+owalq3IXbRf0/S3B+QkXzv17jbflf73/WSfLUP50Jcf7vv+HfOpya9w9BnlQG
XSLAjdut8m8dTs36h5xza4JyD+Dsyrb/tw6n4v5DL8KkICPpB67O+On/KHF6/wDP5wala2DSF6Q/
8zdKnJeZFs0dprAMmsjuHNLui/s/jkcXAagZnJaXgdGvYpL9YjV3E/HAR/UB8D5kj7+M4b8XRXqc
ERMtRTLi8xOwDKQDDOStI/m33Pey+MWQQ0Rp1vQ37qQtdPyZwf5rJVrOBLDN4+wiVg6NjGOXydBR
dwBqqBPAIdObMSW/qZt8GcRYiRR/i8dMekGuXASxjP6XNplQ8mGaKNFc9cqTWXkxrfSehXWj3/+x
6R7+9Qx/SpU+8+EAdyNzzmByIzVcjOqKckKpnqn6sTUtEUjoWgU+fEYSZZTf96SLr/G4VT68vOj1
QwKA3z4bBRNSjZcPOTlJPpVdER+bVCU2l212Wlo9CYzW1II8vukGeXn/IA9COs5K6PexQS8nNM0i
lBnNCtajt3tskQwJ6yK7iet/bhm+H7CArW91pacj8TBR6CrFx2lo5yPu0b+6qntSsxVdUacWOpJ7
SdC1Ek5L3L9ek7Y4GZsZUFkVzd5a8XjRG2/5yxYhz86PwwFnAAFI9/IDb6ANW8eV7GTMQ3pETC09
ACQbQoDkGUclv+nYcH1WIF5uKj7M7pFuu2SVq0Omo3o3JKc2Z5i7mzUFR58ErfM20IAj2fdxKa0H
OarZk9NqmyvZ4FllUKwpkugrZ0IJZSnKH3GerG3Qxy4QsyEFQB69vAmvdz49TOjfFBQ4z1yxerMp
VzRUoNKTWrVqOJuLThqIIpplT1XgrFI7xvKW5NLVxicvQXKINIVPATjl4rRZXeVgpSnsY7Jm36dq
uYcu880rnF8pXjc3YtZlfgI0hbWo9qApMXDxLtZCd9FCudG2jxK8zaNQHAhlcTzsyZDoUrWGjJBg
KQIa1k5oYwx1oxV+dRi25ZEiZEJJG5Ltdx6cPXzFLV3hUZcK9LTXlR1dibHbvfwRf5NLzyIzylXc
ccj4IxmGrMtFtUDv1qHO1D3MrLPyZLB/ymCOCbK+rgGdtSrXbn0LZF4bQOWUPxtYD8gE9cL+1lpG
881thvVTycjoVaqI6kmfCxrbjI1bKxCMMHW/G1QMuDxk13zdrajlylq24Zi4b5xSr4vQyxzto5ci
QL5Ti3KeQuTqcdJmoNVFNDecb4U62z+yWlM/SDlQEpeNk/gMecz3VSycfeP0ek14AOU6aGPuHBxp
iTJYzKY3DshhqQf0z9YhtDslMfY1gMq9HldrelSsxMrulxjnFb8al+qhm2knBjNE6Tf6Elsf8OCm
ZRkbuWTCp65W6NVMmwJw0kuF37dwkrBkuntfNMsMMrON8ffW4EAVGHd7wyluUjAHmVB/6XrjWH5e
NukUQJs26X5qrfITbckMQrGXzhlgxnx8i+W52x4ne12y16PaOWGOLcyrttO1R88uvjS9vZexM0y+
Ltf6CRhC8m1ZALeBMjBaX6p9Z4etts5ZMA26+rFc9fiLFa8MbZfBNPboGwmwshtd21fbMv6U6tb8
oR4EjhSQf7Mb5+f6rHIRIw6GJwUal4zAzzcw6hQIZJSqdzTdVLwByz1H84h5jJ3m3JFOZ2k3GDNX
gXNr7nFQdPxuaKNcDrUToen0MVzvqNG0OiIDTGj0YIBiwtjcODbPLwWxGQ4CrQpnO7x/lEpGDAZU
So9TI8AJi2HGByl1wV4Y0xi+fEKvwuz2VBulla7lBrC5eI0d4C0SWw6owjh5JzoblY+0siIo/uMj
M1p5mNTy48trXrG5KMnA5WF+SMrG67yUOhO8R3yz1/S0qoXYpc1i7hO7rlAEKwl2mQ7q3qQ0wkCp
jkZNHQ5tY6ahlcvugTkmQ0lz0u/mGDCDaQ1aiH9BhjpmbfvO0E1h7UpyMQutgAzdrRvv67fI1XlE
42enTqapQ1GJ9MX5t1EKh3nyXGcnXeRd1M0YUq7LxpEwRrSbrS4ohsp7UK1qCnAqjRkiOe9GXZSn
qhBzlFToczVz3jzlGZTxKoEv06OTD3MGrL8z2XNk5gu40aZL38XeEMObgH4A9JTxNppCBzm05ScI
tEqQbVnDyx/m+lJAcIXrj2EEn4Wtd/5sCc2IVZoyOxFhZyrTTka4O8n9y6tc725WYdSLsuNmQHDZ
+yfDqtfVMbKT5vZyhx0UcIDeyMLCGqzjy0v9TlUvvhaHlVqP9itj2EuomzQXwO6Lkp+Aj6TBYs9V
1FsecjYqSFZObhappH6+1wpBNwL1ElHoqK6ucb4jMVYDbDpL7HbMMSJbpuujjGbExTMB6M4wYFUH
K1qobti0M61zeElYW8VwCHMV6fpBWgG1IZ5LRZPv9VKv9mZqWoGjjcM+JSf8mWrdVz2PnUhxYd73
S3Mz6d3amX++ABr7TJZoeDNnIem7VPdCUlyl2kMjAWqB+5MdBN8XbgLkghkM98SGhHSOZnSLnRzQ
dESQ0aqq2w26Prxreod+5V9+km3ASk27dUVp8jjWtj3+CG6IDSGdgVrSKdUnBj5ZbUejCuQ48+Zf
ZUKbXIlr7r/E9NVxfuvGkx6OGl1Nrxk7UlRDHvN8zqNmMItIKqt2EGY7RTkYjUBnNA0aL7UDAIrK
feGpSpQtMtl5rZrtRU16tTrwOothBcwzDkPobRARb6hU1NYr1Vfg5odAoZPd2MxroCztrfz7cvPD
7kKlZkPYcFWYTHzOnx5Y3BBjlFOclnH8IEZA4VWPX1sjmlu4N17o1bffevAoiGrIkm3jr/O1tMwc
nMYeEVGioZ4yWyGjDgXz38DrIYjgAqYik5MYFQJEiIY7WTgLS3lbN+Nk+Ogi6YWfiY03giFBvBzM
fpH2Tk0wFI4UvvF9Wau9CFRlQGFRxmM5h60uHQ1skCPzYAJR/s6DcgRQ3rbyNkDC0v6yUtllQdG2
kxN2nvpaK7HwDJs+LajXp0Z+jfMqfsTDuHuf1u7yfklob8F7KJY67Caree+5IoGdURfNF1j4bu4z
V+1AK1q5XQfj5j1X49LM/1yPKsVqGd+3upM9uJnUMoZKDpoVhuwBySNqY77qqxawT1tluREgZ2Mi
ghGrXH/pJKwvAl22r5U19jBn8sWrdyZqB74ph6KMUtcoqJv00X1w8sHzu67rUdfQFtfv7L7E2k3U
nd90tvdqHau2CTzAxD/tIrXvZWd0wtc9p/yUAHPwdqo5rR+MwsTPczG77pjldfK4KmZzH6sIUPtL
pTpfG7s2jMgh0y38VbbIa8Dx64g3Hv4qDbxrXGSVWI+gr6e27wFd+FA5i/imqcr81jQKaHZArL52
tnKH/Ifwu2Q179SpIoWuZR0h2pOf0rxpPhC0MzswoNBg96GaVRXKUSnf9MKwfixaDxJJmon2yxXm
8JNoyT3Hfq+XYHA75SseiMYbMntbhIvMOwjOmJ0gV40CjBmKWmHKLGCnfHK1tnxKkcaJQGY1Zuha
SzG86mZ7vlsNjMt9oO/h3AzDR69uml+YcvWrPyTu8mh1dVMF3TC6FUhWA2wGDiHMPATOIP46pUa7
S7GDRWoUuktYV2ZthKZael+0zqgOzdQ6YQxYni/Wx6YMcRwd7rUsV4udbBqQaaluKtWuVSTiLTk2
IMDeek0ACIOSo/sTHEE3iBswcZOK1HOQ10td+gNKwIKdgVhkMMXDypYyUJuAD6wdjEFmNNRr0mNm
uRlkCtceksdu1DR2weQAorZRdopac+k/GkWZYbZbJfUUZVY7tNEgidL9PCjA15Sp3Ddx3E0BXLz5
g1QAs8I3wf3N6KekD+hEm20YT4716E6Qb7AKzwaMAxQ2B0qDSFUumWd/ih0tE34Jpv1Vn5JB53oj
Zx8yi95CDZE53JVOm0g4ksSAnwEbK/cVrzW+6lwTCepB8A3DZqyBhw160dVhWY/K296o0kcKXvEl
q3VcssAy5j+n2NgO3OLa70c96xaqPB383oDVzluEYZyPlRDxk1aY7T1BgrdQl02v+A0K6DXy+LL/
VLZd/q7i2N4lq/5IuWdt/BZbu0/aVKl8IcziOwQCLUIHJvvFdosBiE+4OvpiVOzRz+sGEOOg9LyC
scTT20tKzwtXfch/Jrld/XIGwlUk4Wa+tRC4+CAGFWHT2lOH15m1xk+rMnqPtAvE0V0yRdvN81B9
h3SisOV1LUOgqq+FG5EtwhYtFG+EGDNIhYG2i9ljpKS1DtmTgcq3JncmoLf6+kHVy+6jt0zKw2rM
+hpKZ3TvqNrKz1hQm1DxKR4/G4swaL/hWaJFNnOBIyFiaE5ztaRPqW1Pn7ok7dh7kzPeApJdFlfc
Ulv+xyQXMDBZ38Ut5cgR51ergWqdVdWJpCcObQnLRDd5UiVV0sPLScEz69EhAATL2NimJXGReGpD
PBcg/dvTaNL72todUeUtY9DZcewbKFzfSEIumy88Hyk8Yme0G22YF9t//yMHKSv8nSxPtieQtoPf
aXl+tFdHPJg18phSFhWTPpToS7tRQiPGAu334/7/0cr/QsNtG62QafzPo5Xo6f9itMLf8B+LM+sf
hI03zSX6SFRc7J3/jFZczM8oIDcrLay+NzTzf0Yrzj/bMIB5B8h/KltzYw/9x+RM0/6hb7DR5RCV
2Zh8fzVa2Y7CeYIN6Q4UH/AVBu/wwM63kpCK5H3UPTpc+c+8ly1xrRIR5pT5IV6dfK9gIQnX3Hbf
/fHSnhkNXJ8ZOuU28jg0z+kiX57RRTWS0nLt/sQoQB4hwycBjM9hJ3ShR9WUqP/atGeWfH+OIp55
UChfm3UZkDHeLW/7zzPTKmJ1arMdTovdu/6YIhK0CslDMlwKpxE2Zq6XSyBNI79RMF6fViwbWHc7
rcAo3IuKwapJtoYMfJxUZwsplxiQprMaW0MPoQndE/vc8bBJrNzyfiryW5Pka+onM3hWBi8CgAZY
7cWTx4VY11jXV9IsXdkZvTlvDmzNHRKpnq+Wox0aamccbKe336RFWka0PLy9JZ0vmJd2e5Ox+qFp
9O6V5Iq9UbJffxWbE6AhQqAR0hB0P/8qiktS77qzelJyr4NFnBYRuqHl3jTWzRhWhc4GMD9EYeKW
cc9zKwMfBH3Jl9lII+cr64M+mlJd9RNtSwidWg3YeBjcw2ZGswM+iYC3vtA+wh768Lc7H5z4hltH
txqKzeUII+20eQI5YpwQNZiOk8y/N1qcHtLZNiOcu5cb2+/6QdnxnCTgmRw1+9J/FB4AwSRL7ZMB
pdlHrQADqNIxdjCnp8ieXOuw6iMXlkjHGytfH3Gw6qDzcdzAdoMR2fkrbmSKE4up2KclodBR0t96
Fvqu1fW3XiyGGwf896zpPJTRSWUuAGIdeAYduvPlJmtJmQZlNjhoa0Fooi4hZ2hiRgYkXhVkTgcX
ayjHQ87QB9ylUatJ96HI4kEN7JTuOgKZnZFDWZjqx6QsUbMoi66rcOpYvaOTzpobwPtlIEwPJg2T
qk8M8nRdP6RCbcSO9qbz7eWt8hsmfvFMHAqQRPTsqIUv28SJJhpdW93uRCno7hPaXlBC9Kx5MjJt
jX3wWCpWMDnNXCvvmx+zURQohs65s08gGH7X4eEfDZd62MhE980aJb5/Zey1dzoE0V+xokyfvAVa
kKEoxmtHK10SbWt946nrIPx5Ur23ZmEkOdOKan3lZnb5ZJam9tGZFIm2x6wOn6qyqtVILnnV+i0v
dPU71BlzZkA4ROoQ3AGImob2Uao0vG988suGH3kQIGrma4Ap6TVfteLAmRBUvO7Ue4v5atMN3A1L
4/z1ecXVcLu96XyYYCAv9hUg47lHHK+jrZh+djMF4xIn/ZE3nbLLwI/fyO0cdun5F99W2/CHqGfT
99qO8x+5XaXQE8bduEPZCmn5XM/hKCTUFNjNJ/fM40pfFuYt/b/rF4l4LoAjBOABdFyNzJHTUSw9
TbFImbQKOCMqkFwYt0Lus6ts2Q4q/Yj4XZoLeUq2JoUmutMqYAoIWCRoP5i3NsV1vNuEgOnQbpbf
NuKw5y9QoV1o9kNGYmGu8n6EkrnHK6kFJjsiLL042q43uiZIEaO5Ee+eez7qDcDAAF749SItR8VA
IChT9Cd6OYZfNomxaWLeIpZfR1VoVmSMcMshJzAFPX++UWKoIudx+1ZZHilEDtjl6bJTK/2zAYAy
ejkEPbvc9hrZk5tR08VDUdQ6q13hntOskw0MVp99Dny6qz1tDhhQ3NLKe+7zIQq4VTe0Wpm5nj+e
MeI1iIcOn69hVljN6Sd3zvfrohnoyahIpaq1EeSN9vblx7xubG5ORdjTc/g2lbvtNfxx7MbSLurY
1vsTTJM8SGeModVSyRB4dm9t0OeW2tbaxtfcWJeYCZxzsZzrdaQ4kPj2EeLoCtND/FbcUqF/7tNR
HnLra1SmhJXzZ7K9FM7WUvUnbTVfOR1jODFR8Fdk+D6yGLdspq7pA2gdEB9p2G7Am6u5XzXm9GtU
1rMTxFGlKqyDlo3lm8R1poNCN3tnytpDOo7G6Epke2OiBOGvoCr9loHhbkm5n61VNo9odw2IlIyI
sDNt24CCju91xQRLPVFuhPfffsmXEZcBrLH1tDdnsIvXJKA4lEo+DKeeiddTU+TKa2fw1C+eVdDo
9AoVHho5JDLhmV0ATcavbzV9qxMuRlLd6mLNY2nJp56s4EMK1vbJxaQHfpLi9JavDZNA9Yf5yuRT
Z9nCdxKP8JrpVs+csDDmt065lo+DtiIMKUBijr4trPWxq6x8CZS8oQnZM2iKDZ1JuKFUBp9THx8m
WC033sRz8Wsz/4DOi7oCyLfz/dLGczyqVjGcOsdyAggmUzRWyi1V1GvaJjApblOuNmfzI7sU/8xS
V0F1phlwYdDH0OsX92hzm/paW42+ZXRR3yveGzOm1WjkaYMYE6peQzsONyLbdV221dc4FqI6w6j6
kkoBEWpFbc1FXQol9nAFRwjbarZPXTGejC57VdQlsnG6LEINPcYb4/irxbdegIEBBx0H4Oi/Ud1/
xJsun3tG8pgRTd087POGWRF9drQqutILM6HYB3swlXsEidQPINWNdy+HO8IMH/Ns17PuVpIiCgR+
6+pjU2rHdremxgkekPEeK7wYASmn5DaZK4oEX0vV4Qj5DH1PNRMzc2HRP664i3vRUszznarXbRZq
UxkPAZJj8IyxeNNdpnPScKLUc3KEZtfWyv2kdOaBlr4Bgd6t8/nXaK2MQ5hJlJ1fQArYU53MZeQw
U/8gRxdG62B641ezQXjvENv1hNJy4+hMaZqOKZc66+hOqwq22eq41FUAFgr1K7UU1kwzDMUodIqz
Felv5Bq80OwSsId527f6q8TpNc9HKES2B62rUtJdSGpx2K4IfKL82ntrONPpjqN4njOSBNzN9aDp
kOrTemUxEfAeU437tldqriPs9PCYjEdEgzp8deVgSSTquwy1qia3ZNi0hvN5HNcx39kpV7ZvLcz/
d1oJn5bZbDGgYh4XJoJ92Ni2h87zFuy8VuAvvlnYc/94t4xCesd1tCTSX9rgvoUpTtteLMr4wXGX
/nMCkxYwkWulSoS7RqIwDM7bu6UfnR9Epfork7JGCdrOlox2oM3fozHX3QvXKb+nSinXqEi7FLMA
kpohRJ+koECwShlHzDyc1+OY4LKbuwXKIYiE5t/c3nXfW+A43SgTawwjaIi/rl42T/6clBKZMqdB
bU6xuvLRRVjcFy5qS8HaNnTPFbrDNvT6mi3/8n6+ulNBA4K1Q8CIQ0UMu+hxCKcE4xTP2qkDrQYy
atyc58EnTStX68tLXSXo21IQAdQtvQSbf3FdODQU7IRpJcI++Ljmi6Udu1qBf8586AfhP4nI3Msb
NvbXQZMuHSkD1xMTWAqei/wkQcu5ZyaoYa/u6QdG4NWRFMLEbbRXdssg6+Pqxf2ucJR2v1RNum9n
huGuWzc3Atf1Lc/1wEumTsDwmERtez9/RC7FZJyWuqtxArSsNaCxG7Qf+2UNq3Jp9lR5Bm6r7NYh
CZw2dXaZGmd43lfNK1dN5TtLl3fr6FSRbGSwrkP+MKltsp8sa3mocN7YrQWeHS9/suvdAR6YIhPy
PABy/uH8R66zcWLIOlgnhCbV0DM5Cr26CSSp4tvLK8Ehv4qrrLXZsIHkRr/3sq8Jmgt7tbKHjoMU
QPpkGKnzJsPfsYxK9tKji/LVt2ZJ50/SBotDbbyBB7BIQqEw/aGrT4M2dsO7vmudT8KZ+/d9yzmM
Si+9q+qk8RN7Ro2kXk15ZzbF96Qx1o8gfJXPBmAcVI3mOFUIakXWk2gM5MuVjqvxwS6sFA+iXBFK
hM0ofKS8Q0kNyQQho9bD3Z6xd0NGn2Va98FClpwpFyZn+IfknkJzMlbj94Za9A7KrtDJ/do1Rnuv
5UYFPtAlLjMEX+03EvV9fD4BO55ioZs/8F6z7zuG4IWvJYAp0HdcctuvGrQqQe5PSBiws2fsVHiw
XQ4jpmNabo2vRrtcer9GS/MNOpjLm9ZMWuG7okzyHZBbLuWBL4jQu9JaX7WmzBjjTcL4QtyOX42J
ZX9c5lqM/uyoKS40wh6A9VWN8Tgh5HCHgKkbVWphZYHiavQWvbmm45y4PErQziXO9ZZAIJ0GC32H
kH+vy53Za+2TiGe49GQv8Rrk/JL4buEqU9Ajefq1GGlA+a6bKxsRHgtDP8/L4iMz1/Rr7sXLPo81
a89YE5RiWjpKQ15pZ+9HWTdo6ztVex9786Lu16ykwJrcSd0Db9FRmkuWd4CUs5+pmyO3aaVuiiJ/
Vol11wonxa5BoFuaLIP7UPVmWgSMtNv3oylKZqakzF+q1BPvWtflU8ZAKvfgTQovSAjhzHaRW81C
EBCNEukF7jnBBDrodZLWy8MmSpq2ykM2mvVBc7J7o52zj5hbobO5LIKLLl+Fg2CS3va/1NGzJXdI
zc7AOa1eQk/27TGxhwVHUCOZx30Zw8ptnbKGHWwU2Z5+Xdbs1lTxXo0IrLweK1BMOw0veu4T2Jiv
kXdtVD93qjJnnM85IhXISohu9uY73gO4xd8QyZefeNRDiGydbHwQRm0UoZmukxPVWBjDy13qI4PT
6pXGRoY82lPW8ZvC0PzKyDEToaROcf4u7M+rghFK4EDkfkodVcFSq5nHH2NRPDVokX3tllVZX5VN
W75uTTN9S7nTWOgLdtNja5jf5SKmBpa+NyMjmbkBaprsaCdOCsk8GHnLQMUG4K1tCv0x4w98d/Pk
DcYiGmXFlK9APKTa6rvMXosvnaF8ieNSvGlR7A3wai7w4jAKTCR1/rjRzQqpDJqE5U6iFaP7ibLM
TQQLi5c7gUfgLu7m+Kumtu6XETDSRw0c7eLX6tQjV1OWCN/KGH3QWNjqJ3vBYwiTxqR7mxWVY0f9
iiBwODOfYJLe4QeR05tf5FRgn1B40730SjtFZ86wyx2g2iRHjrdtt8kzCpE+kqhe4zsDF2igkWO9
JTVEQBUfLeWbV5feTFfScWdfOqn8Yio1Ws14Z68PCaaL0geiWhOWKrf62s5z+oE5TVHdyP5/E/bO
E2BSgc2cCgyugdD4RcpAJ1lvsxGbbjLOrA9QH0YYdFMna6Imbc1v9tR+aeauM0+KneJZvuZlWMdl
8x3dlfkHRpoxcDuXufyoJse4GpU7gpD5vRSVd0BBa4cj+lz5JbZTP4FiG8AbulR+E0ZZqkFN8fej
Ltv5xuV8jZmic0G6S9K3zcCx1zm/6TpKCgG01z3NGXJzqNFO71tqShmMjIZjEL/SMokAeVZBiaAq
CgpFrm/tOh/bsMmEiddaPZc6uH06MJZhAUotJxCefqxr+GkJaXoB0tV57y9d0R0srRyHYHAWFQyh
2hpaOOkGoqtFOVoxeST6gHtZjPqxAgz9i7wKtawYB8RPac2FxO5t29YfvJoAFbfS8G3FswZfzjN1
crsUGYLF7lh9QmJi/jSiBAdyRtb2e9GLofPn2isQx23NBmNMSB10BwiIRHSEV746Ra84ZGdeOvp1
OwxfR8T0n0zAH1GhtebnOCaQUbIgqOPrvcBLioHsu7LwhB06dWquwQZjzn27WWSUTHq8qzk+Cf4h
q14FKmizV1aWyPU0N7V96OUgkf3Sk+lzra6iCvS8qnt/nFKiMvCpr0UPBty/kWtsacv5DoZahX4I
qi/o/QHKO//YSPzO3dyX23VUOAV3mFdMr1NFl2/Mynpomzzeax73O7gk7cnh0b7r7rw8WAuN+CVF
8RRIhpbFYVapCrCoqdbSk+uioAfAGdRLGxdlCKooiXdxX1oa146udn/bwodkisXB5hUH0JWW5vkz
EDGoWszRQ+pUMYORibefmqa88aquqf0sg1YUc3aN3iyYvPNlBNx+LmvFOyVI377upzlHmGeVr11T
4CyG52C0UgCHS9yDkq0b6+AOVnEPjdsM6GW4r4e+Hb70AqSglaTxnn7OcpQqbImXP+l1V4D+Iw0J
6nLoZDTt/pu9M2luHEnT9F8ZmzvSsC9mY30AQEoUtYWWCIUuMMWG3bEDDvz6eRCV3R0kVaJln+Yw
danMqox0wuFw//z93uXwZ4qZ7b4Var5vm3EMyzjd9hoEv0Lrd4YpFp9dXYRYal1Ydf/l46F/31sO
V9M6NrwRgBn6TceNBy+R7lARyQWrLhpxVNfH5rviqvmDQSLKVtXkPbi08tomnX7PFkPPZbmYTDd+
zK0YK4h56Y37RG1+gtpV95NSYj9eD8pVKZLoMUpL3LCw8p64vhMfez2bg/k1SjOCK0oFrmboqasf
q6G8WLiIoxfI2xinxUGOr8lYkMrCHZpcij5WlObM2jhBveg8AzLYxGGq9KLNozkvUvpnkUiKfSXL
YaMqjbzIsYc9d9ycfqzAXSj14Y3TrsK05vDVgp6bS6w05V7N4G5XcMc3Y+1q0NsgPSrRTyfD6ao0
6mHXFKaFbw9ghpzU4tIbo/a5cooqQEoThVGszf4sXe70SvUMbFHc5oabXqfD3GyAGpQzP/z0PkP/
EaiavjeGevTBDn+3XfdqPSFF2tMhdOCS2/oLTudKwF6g7HWT4mwezCTxNUN2Z65t7wwNwx6DKXpG
0K1PqNa5ZUB/7vK9OdQYqhPJcGUkaRO0EClv8LyKN04EaMHp/c/ynWkaUtUjbcNEFXySk/SoNgDF
TcTsTvm+tlS547WZpACaDvWLPJfKdvqQsNTW4EoUJczwMejqFbMbL0lS7unQzpcaYua7sXPq+6LS
oRRnphLCqRy/WWovnz/+4k+BDGYX7gNtltW+99iiAT9Ck3MtLvcuX9tFSuXzpTa1ZmdVnAye0mhh
NdbamXd6+rWtvkKQEWAcsc0dC/d6yklijHhc0udWN3wagdyYyzOnynuT+ucoRydjrplQNEnd3Q+T
2W3LmAPPNojwixVYtk7VU8mu+ETbJ/P240n9fegebqPY/60egJiZrO3Ho5MmmUgNWOy52KOqaX/l
3CuIfJiiKIzdRgoqEiX2Uws3zrHE6SbwIGV81tQ4z/wWW5/PmiLc20izpy/YDeoyIFRD5kFjDXGJ
92Q77HGkyYHJ68F4UGU1vOZKG1VBiv2mHeaynJ3A+BERi9wHIgVz9aHRm5fOUhgvJQXps2XX9Sv6
wvENcq23XaKB7v44ORQ99n2tD969NfaUOcug3RlZ2f6M8RQV66WhmeGqe1l9K7gT1PT3PSXnrqwp
bTAXzRD7EspQGcgks9n0o5h/ZbFIN/QUq78To0vPNVa96k3rc56rAbAjADiFT0+8RqHzI2xdmNs4
GcYIC9FieK5Jm1suiqkwX+O+ktf02vVzm//6Ng7eFls/u5sNd5PTC+Orw90tbyW5m7Dsr/SYNDgd
l1+YlJAohVcpZ86Zk89tHQqvbHpkbC+4Rh0OpUCyW2IiO67kTAjC6CGTUmwy5+qOjI6BFOQtHHXn
n34IDIqdLzAlTX1aHUcbWewuE8muaXTVQBpFAW+X36o4BnxWsJDDN9wNtVnRvuPpUV9+/CH8PtCO
pxZR3m9KDqXXsS2crnXlLPHQuxqTaLlQ0elt1CoxtzZuuSEbfrKvpsy5Ed1A3nKKrmiG3X6jUTj7
Sz7nZybivdmHosspxm5L8/Woje2StDdp3RhBCaYGiQFNtnVZVSGa0obGI8VGZttPH0/BO2MaOggg
EmnTgJZ0VNuWQ2Tp7WQrV0NL2oTKR35R5PZDY0/NFXSebttq+cvHQ76znmGG0lND3QWV41h6yQqI
nZJy/ipFcLwpESNeyrHOt2Z2zn31lJq02ttbdI7Qw6wZs0efjuemgribPN5bAxlKeJ01zt1QxMYN
drm0NleZ+pUrE+1qqEZTbN1i8YaNwgq4MQuSh/2xVYk7Xc/iyS9TGmB+VStC33AHs5Jtp005OJCF
6Vcz1TC2SPnRE3+oLeu6xWT3gts6GFSnQYfwcZfwVFSGU9OC52H1djHKpHjRNewBk8ahnMwEF6RG
q+KfplHQiHEiq7mOlYS1h3QMEYjbYCeNhMz0dh+/kVPkfp0n1t3aFmchHKdA0h+OK9Nhnuw0VS7L
xuofaf8XITB1eZkOg77DsDcJE9SjN43aVTexFXXfHTJlNh//klN7ZHivYENw7kDwKXaPSjkih4SX
0Mfei0hpd2lRtBdzl8EIaCsnurUIH/5cOt3OHAZlE6UmCRieGjfuRVoKPpIOKUALj8yurg00BTVZ
QoIMp7mPVfJQp6lYLilvOzb8pZlf8D7NSYaSNQL5xfBw3TdFOScbRZr17cTbILnLg6pO1FwvFlIQ
LYwYSE/pAT65/n82xaQ9DM6Uc7uNiB7d6rUyPekDzDNaTq1jbIQzi4SkGWv6IpJkUC57VF5Z4I4u
GkHKus710xxa7Aa3BC1YazDud2YG44ANIvrROi2CkqU0+uYJ1w0NFL1xHnPDWk3dMnd+/HjyT/aC
33uPy6eCPTJaiqOvhUI1p2ekxns+zAKnTqYSO3stjMpM7nIXIohW9c7Fx4NyvT0+3+A6c+rwoa7N
3pNuhDaCLS+xLPcz7hgy6K20IyNHWSwHLU1Z7xvDkN9AyBSX9sQk2XoBV/VLOzOGkZwEhB2+9Iqp
prTIhie9t8Y7GGpZWA4zAeK2mulzYNDud4LeWRRxU7AfKgSLN8IMS9QJ3zF5F0Ugi66XG85G1F+m
V/ZP/UTop98TTl1u5FSMb45id69e17jmVpVEMWHkmC5mmE6xZ11alTLMwQRFnXAyNyLqyvHShDzf
ONEQi9GyEAFo+ISsZ0L3UsNuvtLH7msMNyMW7q+SuUEg1ItgkTFlfMpCg0/SfkrjCa9VgQGV6PvA
Ta37BoHS1YzNF8Rf0KYFPiOJVvUGNpz2iF72xuqX51yuLZpa29l2S+AS4kQtijddUj4sbdv4Ux8P
l1MiY9y9W1b1SFvdh1CpfYGMWgXg8d+WXie0LrUKv6Lb2vvJgOI7iNQ2DzpzGn3IX5avKl8Wt9iY
efdoCVqr2Zw/oNCrvuoZgWNtbru0mTWs6BO3CApvIcbNaCAkWu2jEkEpEcmo+0QjI7ATY3Yrekde
YoZi7qJ+7AKL/Bt4r9m9rDwoZHO2Ajzzg5069wOpHoGbj58su79cBNKeaSeE/ZoRBudbLg4JimVt
a3fAV0ESdgab4RPhEqCEqcGCMeYv+W9w1yRJca6tW2q9DR2l3ldd7GtiEaBp/pVI2nCmPSCUirSb
xVR382Rfxi5Y9xyhIjMb42JKjCmYVEA9D+xPWfpNrhslbXzs3GdeuG9p3Z1oxEbNnOe5KePVYa9D
/oJiygqsOmt/upCrt5OZaCnsjta9b0Fd26Adm6UMpSysywYv95uydFUbJHy9XhqSrkKgjdUu7bF0
NJvxHluFL1LLv6hVhuDQXUoUlaV3UdfzNzQHV2jTwGaSukCa6ya0zCyuU7V1Mwyz8suiD7ZLldx9
jdmD3mReXIKw/rLzZjvG3pcZs8mdWTfRw5zRSdW75lZx4ls9498WKT1/vMUNwNujXXSCpYR43MKE
DSedz6cmorctblwOYGIKWn9U8WIzjMfILR/IsKJfFkFq0aFafaftdhURs2BO7puSS2eja1ZNaFn0
eUXGcOKYGpr0wwAg3NAdTLtmDFpU6f60lNdeYj+acbfsSuCntFKeNKt4hj1yK4tmV5lxYE1LHNhg
ZKGbJDCHixGv+VzOt6qLmjM1rMaPkhg7GNIQCLFOjUDKUHRwCdkfngo11mAaOdeDVz6IOX8TVsIb
r8abpksvEuLbCBek9aIpKGTHGzaumUhc1RjCSWbzEPSVvTXmAo11Sj551slHlzsRAy2guQGI9/SE
F4P2ahhF2viNUmefLKVK1W2qkQji4ZR0r9Vr24EpFJVDV7/D7gsIrNC760yY8ys8pCTbFHPdJGAs
AwCVS9oYapFiAMA2iacj0stdSJHuAKL9QiebFvQKwXLAb6ro04w9s2zkg/7FtVPtjX0TIKsC+Hmx
O6f7lFlc7ysls75TsPO/eTSbgsGMHmP+otwqs0PrqCrc+EG09GS2ulkbNxT2/U2UyvZmThbWZNJZ
Vc3+QSTJTq2c5tWZamsIy1G0P/oJ4Uf48fFycsuGwbVq3uBPWSBnx7GfzUqdJ0y92nPzQ5GfkPZx
35UdUQmGKLe56ShXEW19jXhA8Td/6h9p0D407juw+Pu3RoD/D9r7YXWwprP9ewHa/Vs9vP1p5/f3
n/hbcGaqf2F7t3qUrG5h9h+CM8P8C9WYgegM1tnqo/5fgjP+iL6aZ0JdWbU4UGD5//5TcGb8RXEP
jd5Z7S/hvSA3/I//c6C76o7+/k8d1mFFgkUY11FYZ+xRcNJOO1SJQwcHs4tuD8Wu2eczLCuy/4ov
f8zI/b+umX+OcngP+j0KEhsQXXUNQuc/h5ftKBKTYmEQtCcoJ3rFmplatmynazks5/Q1p70FS2WT
14DxdIf+grk+8R+EmHpu+qQW87TXlIVI6Kim+MaZgdCPwOyy5Wlq9O4TWawo/jUa3du2xPLdN0YN
ZChqyZX1Z0TbFwKKw76MDQifXTl27iZShvG6rUV7NiflsCiE4An1b72LYBZrwPc8mpxusSc7651h
D+9Rbgx6wDv4AMmeXXw4A3ocvm20dgzDssGV1YNfzX8dzk1ap97ktqnc01JVMA0gFIp/+lwCwnuj
4NSF4xma39WG/nAU1EwgnGRS7VWD5mpiqYTYezQ9P15Tv62u/0A0eJj17oQc0lllTQC2h8PoUZX3
bZouezTxQl5HCKtIxKgqSwRul8IPJgUtx5mEFokZ1Cj3y40tJvnmdmWBHsAw+8daV0HMk8nNHkdz
JGCmaub4javJMPjxRNzoTL7WtCVOEu9HrSm67Ho0ery0pBw4Y/q0t7/mIHTkCpnCuRbjQrs61/O4
3SyuMzlrGIDaBa1VxufSRw4/qfVV8h8aXmDUoFgnugPM7HA9mK15L6S9dqKSmiTgdPD2ojSKcxeX
o0bYOpiBJQ3OTSxPUOoj3Aq3CXrRfWbsoZG48NaxChBhhLlYdukmTuJdmkKZ9wry1YdaayEfNGpv
eZSTpvykesrU+aVJX+cyGyUkq0LLinbbpC7tyxg3cRE4/TJetJA0f3QQK/rnCe+y9C5Wc/zUF3Sg
Ohq5pdIhsMzYROeaMnxWVK4sIXWqfT01Qy3D1qgaWDCFjfdNTCS8EZRla+wsLjjceFpTjzac0u7r
qGFFFJoWItOtkXAN9PWMWu/MlK1f0tHiXKULtDa5G2Dde7Q47cFKKRlzc294soHKW2R9uCgwpws9
sj4RK1x+ryzCaT7+Jt5ZFPSFtNVLFC61cyzxmwYuN0qtG3sa1VzFaPU6Fwtmi4Q4d9k5Gt/pZ75+
49APSaNZb7NHG61ldJ2XZ/h+RKZiBEWSLKBOanuGQ7GicocTSSmD5bjFUjegOK4T/cd2bpWW3jip
Y6KPFWJnjkn8aBSmS7tfWy6J6p3O+Ky/Nx41FAg0JGwENusU/zFeWhB0Y7qVxVKPbAwBiSDU7JTe
PJYYIThBdwaJOKra+LQQXOOVjZ3UikT/Ps7+GC/qva6Krdra84uSr3Cup23tGPmOi2/tr5TrW2Lf
lm03EIP68WI5hsL+NTSHO81lEBAIFYeP2lV4HCrOaO3pPQAl2Vpy0UfyZyeqcTfBab1uNSsNa2hY
F3nk8cHPnuGPM/P+8Q85XbV0Kjipf8scYNQefStowuh4wTjcw3Cwt6BmkogUOw4VrhpnDo3TjYyh
3JXgoCIhBHg7fOQRIUm1wEDfk5xg+mVRqdAtKiKFp0q91OnnDAMDE5vWrfKXc45o77xrlA2QCWjq
Y8J7TAcq8RUrrF639rTw7aBJ9fGCT4iJtXBJcZc62bj88kCnTbX5eIqPcyPWd30w9NFnNNRtZ9PZ
t6EyNNOm18D+nFy17ky9drZLkzHlvParcRJDgO1dfGHG8kyQ3+l+QbGJDg/5Pdo19xh5NTso9rWb
2Xsu6/gCagSpJyh8z7zh35N4uGGQu0QIOsWUbiJCPfqAI4PMEUvU6r7RcMvbEiwOupL1ZM75DTnf
38aUJHnfKUq8uvQu1e5MLtcyHHtYfkgnJBgbNynnahYNIe9WCZcpkIAUG7wwPXnmvZyuCPz/aAOQ
6EGHAGjwcD1yo63QshrqvktqvIo2nbwyOudGnSKYGI51m3XgOR8vhdPXQJHJJ7C+AsTMxycTWqK5
Kzk390iaio2iJpqvJu25ENzTD43dk2KT10zRj1L38MFIIGqaRo+M/YwQPBjqYdx1uE+EoiDFqeKG
E0TaAn+3cgHzktHc/eOHXI9eDKARkvGhHX3nzQzA0Kalua80+KBd7aXXjpOkZ97eO1MJ4V7DlBbe
6KqfOnxIoVklfK/J3FNDq1fMev6UEUp/9/Gz2Ke1BGc6bhnrEchV0Dvap2uSZLVR1M6+wsT/KlfK
jPBVyJzPY+Fy0W/7BgKgBU2UDq5ERxWUGC45GzNSbAO3NWGqm4YryKWu1CCmeCtYKuKaMv8OtF9O
ZO3aHnZTiYh/uliMRPf8lbM36AqR7lqP1rDvbE24l82ILM8nsqrBH1ZdMB9qTJl+c8dSg08s5v7X
ql26c6AJ4cUr+uGF/Bv3F0kNYEGAeOJJHYUt8M+S1U8xI4AmCrgqTAQSs2v5ESxmZBuNrkybso2c
p2Sym5m4c5G+4LqYv+ALrV8tPCUObqosUr+MDA0ASXiivYA4MS5+0cMB9NW5cz7lTqXrvqnW3U6X
uGoFwoRNFTSofSY/nQ3VC9y4yb6rZM/R86knjzZ+PtEM1e2q/lXbZqU9KpUNCP/x63xn0XD+aFzh
/3V7WbeEPw58KzHnUcaZuZeNK24b2oP+2Dj5149HeWfNkOVN5WlROWkngXDYZJh1YrI0RRzJxzJf
+sfY7dOtg6Zogz5n3LZKOYYfD/rObgZzlxVqcvHjMDs6ZNCpOZ2+zM6+1vr6UrdLZVsthnFJFWUG
ZuKluJO6yHn7Bqbox0O/M6uOYbPPQB3DYOOkvV1UaVnEi7PHAm8MgQetMB8o/P8no6yUPDglDrf2
w3en9mmuZa3h7CWLGr9I27yyK/tctslxr57DGgY0tS5IBupquseHw6SI22otSdw9TjTpBSS7Eama
Vl3Usu22jZ3lX5dcNe7ho6WPHq/2jZM9Cce2G99SLtr3Hz/0O0tpvclDNiN1AcnH0V5aNEWS553i
7NOqK64yM7vp8mYzuUSrJkMkbz3FyLYfD7kee4dnuEmdQFgPHIE1aeJoAuI4ri1ndNz9KBT0I4Nn
4rxpdpd8w+qZz/H06Xib2qpDglrGgXH0dOlgIbYECNobsSaCuMFmGAqdU+uhAovcjxc1/tXEzXxO
7nr6iLxdOC5Ug3yg3nE1pLmRhO/fKXullfJrqXT26jPd6s8RJOkz59TpYbyuJM4nUB9K/eM7Bto5
VXiLy1gRnfdALWAA+GWOTijE7Qrnb9Vs0y4YTW82Arou1KVVU9Hf//itnn6jq0cCeKZGABHY3Dol
f+x8XoW+jEmOr2tvcP3a4UohZfPy8SDvzStfDmQtvLXXbKDDQRKorb0ZT/G109Uom0ynf1r6ZAnE
kNhn0hbeHYoyY0Vo2dGPjac1jTdXwSe4rqpSv2zhPmybvrSuqiTWznyD7w6FQRFVItSFk3uLkeso
0Iw+vtYww2lTs74cIvN5cYrmnxEC2XoIjiD0a6XlODgiHG3htddD5Oy8+LrvVOWmV8fyTUtMEX78
kk4/Og5AIuzosBEcgBHM4Usa6JLklNTltVNieFS2g3hp+675VqM3uJVd3N83ixWfeV2ny4+RbPYw
OOdkja2o/p/Lr5yrVuR2Kq4zd8DKcRD8pZuV50yC3hkGdhFwN5ccHlI9WuW4ts4c5319nVRduisL
M70dOKcvPp7B90ZBZsAhgcMSV531///jW8Ifqc+ihjyRqBj6oFZV8thL7e/UpoNuwb/H7QEZ4ROt
lo3UnpxI6CcPR6kju+/nQWmux9FtQ2NAk0TX+mu36Od8TU4WONcRk/RG9geQK/z5DkcqeytG7keD
r02bBpK/+mo27d4hsS/8eOLeHQi82MMbcr1NHy09palUhVZYd63nY4QnIzVCrBV5aE1nk2igevGr
D84xJBRU7pjrcOtfYe+jp1qokilYveuVJg4pq62HvZ55KQV00ntZqOi1BumKFiJo9aTHr8Y4A33i
/GnJxA51rxdcO93cviJpFgt3RPbf0O5G0BRnD0FESaxCUMl0qiGuty2Cu1zENyCOdO1TM63ssOkF
7HC81+VFQvj2l3VBXbsoxOpgoQ77VtsLspqqLWcLcQ0Mb38Z49lCY1OuMtBu1QJ1TTxe4PQFa2iN
hXyaiC0a+adNnL0Xx6Ll681O9a1Fopn4LfJh6edmEv9AMLRwmJb2DEEVSpmpQXWKZ/dqES3lu8iU
eE/FOOk7VViKuGsNtRgusCMoltsZ317N15fEtW8jkZbO5ahHaR4Yy6h6VxWf2HcUbFl6aUJNa27y
hbvQBap7B3vbWbHsWz3nb57VWU/wCJlEBKKfFUuEK7WGicCGJrULq6Bx9Csbk1fnMnOcHAPYeB5I
1QanCHVU9tLXkKW+6qPnXFZuU1hBIxYjvoUcZnq3OKbKeK9lcextHXSdF4ZQXXGdVol1AVEdqzIH
fWy2sZy8/qVze3lFo6Rh/tup6nVLWunalG7MN28cZAWDbkngx4wp6SVZZJQP5WCUTwYm5k8R7uTt
JdHyaxYxqvuWZpRpV2Fl19FlA3uJc1y01tXizEUa0nuRewUM6y1zhcCDGEIRVImkfByX1iYPRZtg
/PZOP2CkkpXlNy6RPKmaqahtrZYaa3WHwJYbI/VO9VHYx9iP4M/U+Crea7sanXZxKb1W6y8xrtdl
GCemNoQKNARj9YVRBn8C7+5Ry2Yi/6TCf478djKWzh/7ydu5De2pUEuG+WYZ5xnmRJsq12wOuN4L
y6iNbVPXLW9/xmUILmEyh3BnGhe6oWI/Vri4QjRLqzT2Ebykj03kJjMXzHplfeQ9NnMIPO0b3Z62
Ea0dK9AFfQlPGS1mT3eLF3YFXJaVpTMxNbYG847YPb3BxUhgsdEYQgsLUydptPJSkd0ovdtD/gHU
kuGsp4oVYsWeqIEjqnxBEDdTKuZqgZlfMznO18IrWm7jxVx+Gepx+I6NXPKwJK299j36bPbzLIU3
nZGRY6ARldkXFPnSDFXFTd8aZ1yozObR/VkmkYT/oPTZeKNUxnhr4nr+KtQpJgoYnjj8CyfvtkUk
nDccWZAJpwtUGfQ8nvkKJDJKXCaQO/tDU9CUUt24e8mhWX5vWJT3Berf27RoMOqY4FM9m05d/oQ2
05l8JbbzSWnRgWE0kRZs/Y36igTUwrVuIDDY51zPdoqaGfrGymSXXymel4nLTonsF27a+gC3sFIx
5BikzIISxpGyUZGnEo2bRvlLOdVE1asttt8hgIB8oCp3Rt6zWY0+vIYaO0AyRPLQxRn8hxa7dhFm
5aKwtLoqUuFrLd6nSqiEY3StnaOUW0T0kvJV/JwdPX+15rR4m60GWqmIcpT4s9ZcaVqnrHivJW96
rdOeRY/+ObSNep59xywwrl+yTvkM6b3FIyDtXmOx9K/xmA9Ye/fuunKdaYDwytexz7j/VGGeeFg0
j+Rw3JW9pr2abd8/KS6xQ0bW2i+1NuGWrTZ1AsyS4YjtOl0OO65dvLtEieWT1L3skVLZ/Tomq59m
5UX6T3XB3Q4b8DG7xug9RWRAQNyPaVCx018cl0icKm5lwRZS9T9kMlWvBenoP+rIMZ5KOEZfnbog
fCnrSEjGKylr70u1dVLfMSr93vas6Ye34LXtD1JFx5AJ3X0iCsYs8Bn32NZMq3ZxgLLQdsWOCftt
cGUOWcht8/tp6Nx8QwTTlAYw95Us8MbZnkJlQKcGIDT2VSDVxir9cYlM24fpm6pISGfnpcPb/Jed
jWnkd/RynwdIMeSp1LAFfAxJEbk2mJobiwOLavLctqExF+fA1E2U/E27/f9Mlf8N9EJzgfvrv+eq
3FZoaP7X41C+9YcRlP/1Z/9mrajqXyZewOrqaQfu+N+sFc/5C3obVTvdODpX/0VZWbks4MmgFVBK
APlXRv9/MlbUv2hHwsiAtALRV1/1pf+EsnIEj4CzksFKS5CoMTIvQNGOSjiDcA7sxJ1oizhh3OOJ
4+6gZzdfgdHqXd9p0aY0hunGtgb305zPCOtFh01F6+VwPF3txx8zeP+vau7PGnmtgf+7xlt/Dbgs
isU1lWzlcBzheXGWuh6K3mjranF870mt+lp3dXIbqVnyw5j6/vnj8dZK+Hg8bEigJem8cNrLhzVl
65BEYNZdtKUuH3ZVbs3bscnKf3RX/9dT/TnKUeU/yrayh6GNtrWXlJ/cVRvgmLn65Z89C2Ld1eIP
zJD7Mw42R1X/bMQpsjdivLtsSi7Srn5BF3auI3Q8YesgrD3usiwVqEFHV9pWidFeW0RDkRhJAkfk
RE/8T+kZaPB4GaweatyU0BasDT68Ow9fi6YUXVVRYm9nh9pWLvI2m+sfhLf9chL1TCftN5XvzzXw
ezAWG5yqFUM6fiRtxjRGTbCCaoUbj5sq1eHh52VWwQHVUbaCextcKRIORIcGbldi21Zi57KpoCV3
vizH5ial6Sp8iREKzWbQ+M+kRVIu4NObJiFWtLhR17IqXvikY2MHOj+I29jw8LgsRuKNLLX+XA8l
hhJxXiGhVQQBU4Ec0Pn5dmuZEMmrBX9aacZf4TdVDzmOUPNGxvnwRM4c8iNjpO9liEVaIQJBGfk4
FIO4tYZVP+ZExd3GObqVfq6+FIChXdi5jZ7v8jGR9U6pE+/JiydN3BAV4+Z3yUTy81XWp4sIu8Tl
3xZZJVcoa/Gm0MrFlISLGg3prR2PbbwVuUCgV+ZN+517QE1eELpM7MriOXtQsjVxhdqpe/t4ta9L
4PitgeyiNoPZh7L56DYYd/NQFY5JSpVrFhsjjoi1SXFwwCj8XOTC6Zqn5cS1E8AIJhwMqcPVWDeO
okHom7ZeJeQFrBk9bCyunR8/0FFXGWE64lFVJ+aGIfCpPbbN0yszi5E+jtvOyb6V0yJ/6AT1bu3Y
I1FsXurreJir666vSD/CSP5OqOLsjzidVUiSEKGYUbBFfNUPH3VyjCGP62bcFjIt/Djzhi8JDn04
9GJ09fHzns4qDWz6GgC26vq4RwdPjrdxCed63Nom10nY5264xN4cfjzKOw9EzgCQMPZi4FTHoIFp
4GaXNTxQpGfCz6jqHpYlM6ApNef83t8fisOanRHC6bEMD5+Jro/rjqGysXiIUTZDhBzEV1WZsv/J
U0GJYsNalZ3Hlg/gwZNSp/W4hUTeXVT2XL7AzLT4HjVUKB/P4CG8+HtZrmEGa3zzaol2fESqMnMj
zxoYi7D7VENambuPXh/dYZmxtv7N6MyA783j733Y1Vdn8GMTYLx5htmz1wG5ioWcBMVGqKakX6Fb
/3geAeLAFiE3cKKBMR4u9ybFQV5o+rjtkzX8pyBNp7QSZ1PWsIQ+nsbfK+1ww0Kuisswp8wK2LtH
Y3mtMyR1I/Wt2i0OPmZ2hKdZUSxkmkrD6huueE2jgBDolQHbck5vlWhAcaNX1vTAweLFmwzsfPTr
uD53Bp5OOb9t7SfAg4ZNc/wtLr1pKoT/6FujWaCxRqTj+O7c97vEmc71NU+/e/pD2BOBFlJJaMfp
ujY2ZzhbqsaWYB09gF+pIQbCf+nj6X7viXgWuPuQCegpHB0PRDoVnZJiN4VN15M3FO1lwlmMv60X
/yPweP0+CKCgcbHOG0W7dfReZwuGdCt7fSu1YrgvuNsHMc5IZ5bPO7O2+ijwEQN/QtQ9Kow1YbiK
hevelpOQzlpt6RecIPqnj2ftZBSqLnBcHmUVvdrHPil5wh6aL6W+xU9GbpCKWcA/7jm27ekoMKcd
vm4+O6y37aNDZtTHKHU6b9nCtnWD3pxkwEXVOcN1PNIH8mJWTi88ecB2up8novSi17wkE6rcdl2O
Q4ui9Ro3ZLVXRTCV2ZjvaARAX8iGFTAWitAuaj2Jx9teNyEoo9sfNFR8GcA2d7OpCZsc2uGZ13qy
ufIbjd9nE5Tg1dn9cAMaa8JWx7zgN5rlNZC4FU6WfVN42j0siyG0QWnO7K6oIvh3HmxEjIlccqVk
0pqyj/dXXU2gYC76sl2Q1udhbmgyoYHpCdN3egWTXK5ZGKPJDuN8n6C9NtoUqtYlFzEWpw+C29mw
Fb3udYRp1fpDXOqtCBKVqIntjAwWmWoUKRE5gE6RIzedkNQBesKrVhJnLkO3IdgOuu48hhGNqyUE
nQTboJkx36XYCXehlVQScZAUILizOY5B6Q5tUNcK0fC9TvpY9tu0TBmHKlDl0j7llBLPZChXq53x
mAWq2jk/QMWRu+baMN6myOBUH58msgbAY+p5x8mSbce5d9LLKiNU0FZa1wpNKYlQHnH/feYfI9WX
BitwzILj1eAjs5dNILEYfHJnwtV8PeoNHqrs6s/lxJ9claCNGgolLb+qspysLeZcTuLbmWOQv0g4
LXZcik1WOy3jOA91ehPjBbnmSRyuQYWPeACmc4inRfVk2mOd4nVZYLbvlob30rWK++SCbsa4j47W
xbBYC2JCc6bVEE+yguGmpeK5QIOM4m0xS3vT2BINcqqXeh3kQ1Ka4JYz3r5gt3ihOR351FUE/9mP
qkr7hXxNfZ2nWLQ3dYWaZlP1kITDWpdgiHwR87xTcADUqLIxE9qahCi1Nwby2X7jOqN8lqZSTwF6
eSyKgVsRztHNJWdRzYSNlzIHAtT9wZ7vFXqmzpb8zv4R/0cUq0ncOjg1epMxBMTSaBmRm/34uYX8
Xm16j1ZzAMt8bFc0Nkv8CGon9mpd1eXbiVyjHI8Nu11uNS1WdrKMMEFGG627IWaH6jrjRf+pGlMa
CDWtEuWuaTVk9dzsxm6f0a0Qdx7h7vWVNnrl58ZtxyxMcntKL7RZKDEyvaohEMDL8ycWGL6M0uo0
NMd4vCx7eyrkfbu4Nle2dnDSL9Ow/rgqz6cabaywbtVxJGTHU5YKCSPyDqKHDTzOQ+iC0xzq1bhC
i4hrLhCIagRKk1kVb5aea3HoyLKfeX9ZipA/d8tHtgZ0qLNJllERx/rX5v8ydx7LcSPp2r6hgwkk
PLYoS4JGFCWK1AbRUkvw3iSAqz8P1PPHqMA6VaFZ/TEzvWmNshLpPvMarWjvbQeesVdPVVFvqi7D
MZZ0CSqxGbsvU26X49ZswQlSO6SquAmlW34ZLVcZ97omyu+USFGmw13p3mxc43uOjBV1fwlJM2pi
bv+YtLHaTnXrblsK1uFmriNZHUddVb6pyJNCyQMEtXckXpc7rQwE7caks5pDE1Lb2tZC7ax7VZPD
K2qgaMpXiLd2nqwao9xGPZqtXigMCLl2ifr2NhlRT9waeRdAiIXJ+dYldUQBNuin4k6abd5sFXpG
3zo3gyXM8TeUXWXUxnM49OZ38DOT2DhQz8eNhthYjDxfrGXbUFidAvY0hm+cOhSsvXZKHVhKgEk2
iPkQFiTh1LaeFenZczSmotsVmqjpqsSx4c+5lVU7Mm0t3cFK7YMtTYoO4YtccT8lKNbYOxl1bXBj
hWORHMMwLVjHiAYKkjxDiHh3nIUUMYA9QlgYAVNDcI2jzwpa7AgED+Qsnj6D4NnmWMGLJzHbMtxq
BQuGIl+WfoizhpvDrovsG+YcsQ58KZS0XBrZPFEiUP6eW/6q3YIJx8R+GuU+trsquWn6rJxQ43KR
Hq1mJGpcWnbOFs+8XF/ARtZLi4Kt8ANCMvzr6wBee2fLfCfysstvXQEN/YYKtR49TGYixj0rotxM
Dbgtr0Hb9cZGrtm5xfx3tLxEbwWGoJH5OLZS4bJN8/JTVrsouvI+hzB73Wa8T6A/PMUu9uLYnqLX
mqGFam0cfQrQPrVokFMl6WvLQ2ioSrZpoQtcF21UfC6HOauiJ+wKSD7ABKBtLQEvif3ps1uMQ6BK
MNP7zkYYtslr557ucXDkUhie3K7XHnPT+IittHHEBJXKfUmBvyz6+k4bdPMKlOI0VP3nx6CjAsqB
GID/rcIh2qlyMmhV7BtXFPtwHPKNHGpUz8rZ3l6e+PmhKBNSZMDQYq39hdtRBFpgGvYSltWo6+1j
KbrhI0riV77waYj3z5woX5N0Gzp0lrU8TNhaSLq2DnPq0BuWLpD8HO2UK6OsIJK/lpE656I/4yD7
sfamjCpdS92cUVpQSn44GuZeifUW1QaimKx1cSsuldHv1P758nc8DaF+TQ8QGJVzthDCE+tcrkaC
P9HoGO1DoSsHE7+p2tO7Cklja2y2SVKrNJhVsYfM727x1w2v1E7OrKMJqIg9A6mVUsPy+X8DrNQu
9jjzzPgdcaunyhRphbiY0Kbi3F+e6iqM/vdcURUijoYdB9bjdKxKMXCAzypqscis7oNAcw8KRO2D
Dmt+S3Fq9noxTz61T5VLrrCpEeTKdnI6GwWDsTz2edzuizm1P13+YWe22ALkJqNeeiR4uJ7+riht
Zl0OCd+gK8RuDtHjH4Yi2F4e5Vfq+59o+Z/p/0q76JDQKFjzLwWxQOoUvUQiuytuaYKqD4YalZtk
boNtKvUUD4jWOhAVdHgnVM0udLWETL3pPl7+Jac18X//kCVjInoXNlWz0/mOKa7oYV7IvQ2fx8tc
EIh1lgpexKDbD5VyjRJ6bo/RsOKaRNiHcv/qjsSXa0rlFFOdhny3dUNEA3oBB793ETK6PLX3Qy3S
MSg6EQMgTqiulrKdZ6GMQmdq0HQfdVSSPudllu4SfBuusXbPj4VKGQBncKprYr8pSrwhRwfjBwNv
9RoorkS7IKa6anfD58vz0jTW5HTzMDEaa/RjHKpT9vJjfjunsutVEWYI8aGKriMZpOfqd3QZdEAh
UVShuViFSrVXmlr3e3vso02C5fanRacHnPdQh8QacCo/qHPgYjUnnRRlE0GvPlTcudpEWQ6PzTGL
3Dw4AxwcHg9VPDfFZIWPo1tn1hVHy/dHjhYHRQ4UJClG0Ak6nY5R5lalTzZQEDNLn5DZHjBDceUV
isbZUUDYwtpnCLEeJTPQAuxcRpmLvL/VrULzKtXtrhzss6NgHrm8HTAu1zy51A4Hy5yTcT9P7s/C
6LMN1uvX7FG10/x+ObS8tFwaGFSB+gMbdPrFGl6iiubBtHclS+vBGTN2yAWC9TKqcl70ZFqq+3bV
IgotUZVAyAv56Mwz1CDND1mlh83BSnhND2qaVPdDmnf1JmvMEsGYSAdaEwV7xbXkndvAHfZ6Gozs
LUOH6zEZeYGaKoQSwTZv4494KIBGCiui8XsqkeTJl3f7mZMFzQReM3uesuqvoOu3zT7MsxY1lT7u
89H5Ms2WtjMi+ZbEyNxcHujM0gFHRtQQdW+wgOuACRZ4BWk1GNnuKBlWeYuXWjBeG+X9fYuWGDud
7MemiLKejhT1aLUp7lRyOXdI9d/aKkqm4aKT3OlXYsAz+4SYlISDaiJEfHv1yIY5DJOpsqY9Jzrf
2L2jFV7r6PPONKfETzUz3KftEL/9+pB/BN/4P+VDTkRGLsqR/H8oNEK1aAFJLHfH/w3g+PIDt+t3
iiO//V//jd/QzX+BrhaEs7SK2XNs/H/bXOviXyZa/vC/gWoivk2A+v9srtV/EcsTzJPPLU8Nj8B/
MBwLvoNWAGjWhepGq97+EwjH+jhQrgUi7aB6hzIK9/KqhlgkVPDYO4VfU8gobyZkz8eD7HBK/+3j
fPjn2fodm/F+HIqwIFiYMCOiwHh6l0E/U8TciMYfxtb4NtmTe3BwD7tWoFy2+u9vJgiQRZCZnjqE
elusZT0Ts4dkz6FGLySGSalPtbLLAYU5WGSRFNZVnlAEx2gla1r1BfL/NRLL+h5bICjL0DwMWDgg
aH06TxvvCfSCp9ZX00pue2SYnpH1rf0Ii+kvlz/pGX2VZbsRjVgYxGjQ5E/HMtAT1PpMH/x0KIqj
08/DXdyY7m5oAIMJp5F7iYzMQ0ud+Bg7EqFFJA8e+kkPNmZi47Bs9vIVHd5mo2En400Ai/2h6ctP
l3/nu6WnDGgsGfNi3QryerX0QHrBudXa4Ddodz3EKbjKVK3GKw//+sZdyB/0nkA9EWvzz1WPI3Bm
6hENFt65ngOnHeNcn7A+m/OPzqwYjod3JrWSyzNbteUcYHoLjIr8mx1Hz3s9tToNM6GSSfgGT/H9
bEXjB3Ir425QRwPYa9s9jaNp3dTSVb4jpxdu3app/L7G/SHWDVzNp/maY+06rf31k0xzsbmg2UP4
cLopZJVXVBOXn0Si9yMTbXEcBjEeMpOAcNBF9Fa0lo29+jRcI+Ge2fs2bB8wAJCoXXQEToeu7VLo
wRRL3wxq5QhwN6YOO6UHs6nD3eUvv37yfs3ShmVIBk1muc4v1NnurCkapE8lqqlglPbjHUyWNtlY
WpDsrLYVGxHP1vfLw57Zyig0LGycRTmYj3w6Q2zkuF/qVvppael/aUVn+L2aXYMdnFtCLDehkyy9
TsY7HcWhsxW6gyJ9LahKSr6D+jWKtEJszEHRxK05/LJOWqyQciWp5sPlOZ5bRdgmAATh/S0FktPR
M2r20WgE0g8BEG0h4df7KpCvcu6ucY/OHh8CF1DeC/0IFf3ToUIg9XmcpKM/q1HwQ4lMnQJmJrfo
bPwEY1L9BQFCyGOCpQ6spKmS3hR1qp+lU/+a9Wr8oTH67kowdeYFAUBjELlRFlrCgNPflAI+koWZ
jX6IY8ZxmEfMrDEK8zFukK+Fm5hfu2rKM69HJPm7Ta/gSnx69vPzQC76/hTB1iCajHZWYtnJ6FvF
kH+jrzXR3jMq6uphW125v87OFSVqrF1Nkpi1LzOj2AgxFBS5tD7ZJAqvCZXhIjr2nVs+jYU9PGT4
41CV1/H2rqruSgPz3EYni1ok2bhC4bucfmtBFwqssuRby3rYAR7PD3hkpDfN9A0Ffhqr4JydHS8f
FpeXN/mvZVwFCg6iCBCpeDmB0K6WucIK0MZVRPo6bhFPUTKG4Cs747Vzm2IXD3r22RkT2gdu3c60
5N3+0c3t6L4YwuCnk/QFNvKz8tEIm+JDSE/tKeoNZ2NOVfiXbJ34JiqC4s/PJSAvfi0BFGWc9d0z
1YGc28GSRBZJta8RbtzqSvx9MIP+ePnjnFkWziTJOgghMoq1blscaQHkfrTJmiincRcb+ltEJ2uf
N6N4KMAf3oamou1AqvwZUOHXewqWFkUYxgZ2tZ5j6YKMTNR89GMYG9SY8Qft06C5csTPHDHqA0Td
XG80+teFlaYZ8oqgZPTrqqt2hSiLR0TfALlHVXwlKjlzxcE9hN6GWBb3myGW3/JbXqskQISVIkSB
beJPbMppqOqDBi7J9sgJkvsRi0K5aYMIBKgeTbPY6WNBvyCY8vhbWGK+vdHYiDdjlsprwvvvXzOu
eS45lfoClZL1b0uKNsfgUBl8BUvMXZVm7bG26/iPd9PpKEvg9tsXqDCrEw4IWX9Um2+F27/0jnXT
yvFLY8SLPBn4UKP/fHkHv19h1LyXasIivWUw/umYMIHxXc2X8MDO7ZeqbvWvRprgVRaQ+f/4L8ai
uAt1HQNUequnY4mwIbIaasZKDYmcthx3Ci0+jKRceeXWOjst6pyL/BbJ5K+K4W+fUo/xBww1ppUF
nXKc4iQ7Wmpe7EfH+WP7KZMviGIMR2RBeqxZoCQv05hHEu3GRU+67Zr8NsvK8ArM5n0Yt4zyj+o6
lidrcRhnmlqECUfpd3ZS77OipLT5CIU2hURGmdwozGsm22f2PCNS/uFQimVup6uF8lKnqR2fsJO8
aTHAqDu87JI/bLGAfxIA4qBLIZe2YNBPR2EjaHlhz9JHkd/cDZCMPMhWzqbQsSC8vP3OTYh9jgYG
Eb/NY3o6VBjAajNyhur6Bu1nc0RiJsys3eVR3mdXwCkN2p1km8CY1y25nBS0Kkoh/doYbgOMSzwH
n7tNOw2hl/dkdP/FcCZ9GQgvi3jlalKiAM5h5bx1sUyc+74T8gNm9PbPQRXKEcL1NRu0cx8RCXre
PCox/HN1R9klbYo8HUYfWGUeUBWcac3EDu5nl+e1gmkvD5zGAAvtnUt3qQqdrpY+Na4OFmny45Bn
1ou0uVA3iK4ZN05LRrXNnBqJRje1ByxkrAEcfwMERaVcwatwJdI8M+klfQXDRbkVPcnVpOEVgzlM
BxSv0nHczUH9GlNv2l+e8ZkrizooLHEkS4j01x2TOmgnrbcb1TcqkdzgjGk9aSSGN0btVNfAxu/D
WVzK0IMhcGAxWcnTjzvHswbipBn8OMV7c7QSRgCrMe9KA1F5yKCx9DpT9pskVuK3qTGHK9v23GR/
/wHr1AlDdgzT+sFHx8zY24mC7vygjB8UUY43l7/rucX7fajl3//2FJRDHlpoG1DuKG17i1AJOJA0
vVbNOj8KqRDBGE/OGiqOg/scNFIOvjCT4abT6/ReSebizyME1u0/o6w24jwh0CqA9Pmp48CVZV96
EuEZL0czfFNEiIL3ieu13TV13DOvD2nPQhVjf1q/xKV//4a6QjRgRBSmUM1MtgTDsG0AKH6oQuxQ
FBW7JSDUf16fIdcCvPxrh1J6XU02wvMDUjFFOzfvsld00gsfmGj3IQlwjUUbrN3EVht+mAOlvNKA
O7c7uX7owsHYI1ZZXaqqM5TYVTJd1AeGmzAEVjVUVAahoF25WdbKf8s1hzkdCSXvLNXetSCptHLU
4WMqQYmRjwct7sbQE02m3uq562DfOAuYpnrrY2HVHuKycGGERe4hCZFPwy6v24nQdXaYcKuE5529
D2aw7JcP0LnIHEWu5dEE0rLEbqcnqKKTi3BCJH2FLMBzRJ7fAwfDvCGtty6k5K3D270t57DaZyX1
AOTntVtnNjREdzETnJEm+HT5J51dIMqJ1Ehhr4GlPv1F+EKZounVwU8qMzwoThJ91mYx3c7NVR+4
s1sfDA9jgXEHeX461JSjcI2wlfTtmVLsPh7zHBsNIwTL5SwNKhUBfrlJxqi+EhmdG5iXjxwPhVUY
xqt7q9Yr7ALBBvhZBMJ3a1XAovD8jeBODBbG2zKdxTGnzXhluf9RRj7N+IHBLRYzzJowZl0YNaY8
bVlRxZ/bksKWW48YEjS20d/aQWYtINfsRcudFHgnQEYDMY8svkHbcroFf6kDl3Uz9yjCMgkPyWBi
CIEQw2zti0Xneqv10O+REoiHv90xbvjTDXZLnjVKgeRl1WBgzQMeDZspUtIX2wXb6OGBIegLRnpB
Y9UwMwFdrovCTTpk1PrG2Qx+JmAj/9aI+itwzVb8OppjMmzcvAcHWSVTF22loiDgWBvJY0sJfpdm
E7bDUcufKkbVfZvbGKGDTOTRs5iQg0brwWhHr17uATrHJna2sdXT/HXbGC1OcOtNQnMgsap7nRLJ
1zFFQWOEbDxhdOzIr1mfA1e1QDe91vlQTU/kkBhXhxpI3kpW8U1SL467dY/XO86XevzgxLmW7bRs
NBqAqEELqUJgXb2tsx7KfCJbBdmAOkbgt46nZLtYEiOXnGiBsR0So6EGZOFD7RnSaW/4a7Wf2K+A
iExlowOrxo4CPGFfBk9lzNuLd7pm3iFB4txbUeNWuywc+4+RnMKvhjmPe+G2qfoEXNoy0BNJctQf
0j7RNr0IF5ImMn7HuEyKeOsAx3QQU9FopweFY93NRmA0Xi8LPTyoBjIBdwgx1H8ralx/zvVaB2A8
JP2zQzpg3EKDy14kXJV2MzdqKR6AzQcHp4gpMthUDxeEY+YGKLG4A1qHdhe8FrnQwLbyCgs8d3Jn
Og6dMXHXoA0SsVITiieW2bY/c6ujSNCUhTNxVM3+HvP5EYNgwCLlDtGDVADtmPVhV0MHTHfoEZR8
LS2yrSNNn+lpRtxB8pjaSGboc9rZiAknzufaKIPoqIdF+SPP8jE89nYS39Ko6E1PcUr1Jzd+gxmX
GRrBXigieFGtPsXuA3xCui11kcz3yMtkL/rQ0dorFsX8MbQ6Ep8xhBo6opcB+Lwd/T5rq8/taBtf
HGtQtX2mTvoPd0Y/HpQfG3WTRCUIPE2ZjK84n8svToNahYejKm42il4tqZRoj20wG/Wu6RJMUKLO
NR+jyQUvnztGOhwjV88srwUVrWyr0ZpeYmPuf84VNV2wsBV/zlZkJ7yocYxuGzb98CVSSHc9PE70
Zz3EvWWQmtJhztJO8wdb54djvSsG3ExgzX2xzSCUXtgpidxWcxx+awbLvmWBo581ei8ab7jplM/W
bIKoAI/aIO8qzIFXd0qxNCuGdHafZ37IM6UwgLf6hDN520jI47Jq6tEDjZyo+3GkCLxzu1YvPFsg
B7czM0vJqT0TKLApMn3eNpHbaVu6no7uzU06f9FV2rebYK6dfGsY9HZ3KRWX74ka4ZTS2YPZAN83
pkWMpdb1bTc3OGHHila8hWWpyG2K6NcTyi6auSlQmjC3vTaDqx51QMBQPkJtC8i5ISnTQCJh94nZ
UjWNXba11AkBLBv1/y12cdUnFAn5lmljfyOqAmlY9kmPl0wyc88igsMVYKC666nNHH0wrDagXYeS
y+fZCXW8hKDfVNxuxRRzsoL+TozYQ3lFzeW2Ma2+0be604hn9KNqpLBqaWRbF3XEn9ocm2LTxYMR
e1Kt3deiDHEWSJs05yHNk8yTbpW/hKNuxxt1qGvdS2nKvfRJ4uZYSBdoqqLR136tKXy8ho4dqDu7
A/m1R5aKFF5tA5XcLEXiEfKBJgYvHvGE3appDW1Az5Jhgu3t2szGNVsk8qFxdzjmDNZ0E5sGT4Bd
1eJZWPn8VzxS5MbeEcsdr6NK/palWrM1ugwv0bYJvyCH1T3VmiiindqOSNOQW1Azy8YyfiLiLwL+
X2YOqh8n7k9l01SY149wt70YUSTUrApoWlDM42zejZPVmE+pAy/jZjHPfSjysEl2zqi4wX0/KPr4
kTbnpIF/VcrON6IEQBmuB1axqeYxNh/gWtbJtreyKNlWimu3MEeyoIbZEjnd3tRL/c5pHCf07BFF
iH1tZtF4J0yFXnsyFRMKz6o+6dRYnWbXtE26RXQxzHdxIcbXtsqN+ZuGYNBDqU+DvbXGwH4by1Z+
p/yrfnXUUF/+grrn6eoM7nlEbfN6iyJT8AylnUwaKxGFm0EM6cR2nK3Ya7XR+Oj2xXIFRX16DAat
/84fRmAs7bvnoVf0n7aOvPMeCBygdi4yR71NGixhQ08pkfXcNCq2ZHsVRVOkgWYipBgmn7kbC6BZ
mxC+br6NWvpw+CxaFAzcwTGVzZya2XcdIZUHzSxz26tkPFW7hKXoPHdOMdRUxqpxCa6KHIeToRvf
og7AxQYtxvmtRFQi3kTWjJNThPLeM5CuGkmaFKz7QfRCe9QyoX0b6wRbsslu9YGHohzKYz7XlB9b
TE3LPccYHWEUkuRDgLbjc0pN4k7Nh+QxBEXg3EGg0l/7QLMHwOml/WrUwfzDrG1sqWBt8yArFgpm
0CMDfReaTRodEPDAa5znk2cIh4i0f136rzyiyaS/aTBzYto0iDl5sRhV22scM2p3RmtgKohDm/Zz
8ahEK0eqCeo5VY3CZtpWzAvDB+VRl4DNNxw/6CxFV9nq3VSodrPHWCCkITU09S5r0wgHLlLRYzQN
it8jsAWII5z1W6PIshfVaRtna061sTyFNBd2qFcBBG2rklAPhMu3Js+lPPB8wI8YyyawYGMpBkdK
n5JPCPMQs1mpER9QZaenF1XmqOzQw8dqoMX4FgOzrG07T7M7FfIICqUNsgZtNXhEGfVrqKWa2Eo9
zyevoaKFQ7s9qt+taU6ibeVU9DHcVvx0FobTMaGRZ27VJmkezEZD801L7MJ+EwD46p3esSd3ZqtN
5jasklhuorzoj1FdYfsZOmi3bYhfQbVwygC5ZpZehvfaUMzo9ZTWsHzjjoDBkpp0sCVu42dD9sZT
ib2ftk8SVVHwLRyGGZpQDt2nsqX+USuG6TP5gAk/qixMLAu1UH9TOxr6t6mhdE+a3hFEJP3YPTfA
pKed2zaTuIWKYQdeqo9U52yjW5a6Vd2dWUgKuBNUhNtqqFS5yWaZfgwCp3qpKocuRhOXiEp10I7e
mspyStr1wj3UiRa+6NCUnJ1JSfGVCwtHkBaMDU9vmJsvUWKLn1nkaCFbu8cJUcAWOiLYxOcmumM3
jgI5dZShlnup1kKoNDSTyke9o71IaKjH95ipCchVlRXdJqPjJvz6HEiszORMtt9X8rEFVfDVCUVf
Lmlf9QU0D8AJrWkxB4a1Fr4EWpd81/IyYA0cu/gg4znE1Ms1rR8i7RWq1ljKxfvCjlLcy7j1kzTN
fHvIwsc0Tev7/+ms2sgjdRI+MYd9VMLJfkqaVB+8/2kMF/SqDoqlc4bgywh+9zGGwfThcqJ5rqwD
JAdSPsUPqtOrSoCltOqM44T0HRhrmwTosdeAarhSonqHfl+qABBT6DDRsHxfj+uGIIRFaUi/jOlj
eaOBtl1SYkyoKEaxK0HQfhZQRPfIUCa3VWURTgpoypAUpXOt03Aut6bsseS6pJ501k8TXi48WMIL
cgO3Y/fzoA4TtYl4usMdXO4vf93lr3qXaEJTp90HdE9d59YJoXzRZ8HgI4euPuiJxOAuR4KbOCZS
72F+XMPWnat7AtVAnBkyEr5A60rGYCkiKxPpR50lu83ghOATdPbWdoD6eJuUkFExtyiemgJV8I3q
htOV0tKyYdZTBuSPaLP+i1KxyuqJMAJB2EmPr1J79InMVHnqDSP5q8ev6FUP1KLYWbGOsAwshyvd
3HOfG3oJnQ+CXorZq7GzeRorJaZT5UbYpjSyLz7FtYpgNUnAxxZ7sStzPTsefQkYYJBoqOGf7qRm
aNIyGmm45PgGqnUy4ZethjcYMVkbw5HPf76ZOKQuzQkiaWjvp6NpFZoDVqSCU8gj90nPtPkztIN2
V+jWdJzbWb0y3rmrgRyT/j9VO1CFq9mFc4HHjuOykkNXC4KXgmbtlBj/1TBUI4FgLAr1q2kVfYGx
WjzRIGu79GMq2vGxpVL+3yyVrSFGs8Bs34kzTZE1zJUECyeULvyqRBbIMMeO3zIpy1d4T9fER84V
txgKJC0QdoQDVgdRBI2BaCDjBQVgfa81u+4hDHJjowQd9sKZ7oIg0cvuSk3t3N223Dagd6lm22vc
XaqVrowIt30qlA7Oamm1lxhG384ROdx/sR1/G2o1wyjTzNmEc+ij9RNvQPtVcHD7OzUwbgjMr5EC
zn5PBwLE0kZlr6xGm9FhbKqazdgiF32URdUTebjRzVAhQz/pNqqhLdCm3Z/PkSohKvSMuRzx1ZEr
+jxPE46cE2LLItHl2bay0e7mCFlWr0vaYn95wLPlck6cK+hdgUxxVqehMgkmhpkFjDnvextQ6KGz
7OZJ0YPwzYYzTwYaSK8cRPZFzGbzJcch4EYi60ReEcz4pGfBTjYusgJaqf3ALd75ceUnnrsXHKAU
NrhHXrX1UkRkNmOVAUtz1EgGHvFY+dDqYXeMbDv/XI5oknaqwC8kn1R0bQuLcD3Lu12LlK9ZISxs
4Cr+GqkFXsyXf9q51w9oOZcWtRIw86sbS0GwuHcSCkvz7LRU5VR5ozaK/jVIU+uJunbyMM4DOgOZ
md/UlUsp5fL45zYpFzNlZRc+CUXW0+2SBrk7QggGsBfa3S7Q9MzvDG18hqxrvSE9DK8Tmlh+5SCe
XQ+QzpDeeHhBWJ+OCv4VHJbVgGHKhO0lRVTu+mhorlyg5951DEkX0WyeBOiDp6MkTaTX1cAodjgN
H5x5Kvc9AtZUVupk3opOL2/kXNAuyK3gCnLqzKVmgd9H8Ry2gwGi+3ToKlXtmZ4MIDTA/pxCF9tq
Iw+9WWnzKwf+7FDALelHAG545yWiNGGm23U9+nyG8Iut5wjnZYRPO1RZu8Pl3XJmtwK4RKoSxCso
z3VnzJw6uH4iJvoM5qWM7VIt7fWe2nun9OrHPnbQiR5LZHa2pZl2JTn3FMXbyz/iHAwBtCVionh6
cKrXezaUzkT9vZn8zCoR22tHd/5BfuR+I4ARmterRv+3OjXRsDfHPLmbFv75lqq0fS10PbONl8sE
nxidhMRZb2NVHSrEOrlWlFFLjzXScveUoLMrmcjZUWi4EgkgWiPWnU8ghw0W6ewlbKDzm5T0lhp7
fE2k68w2QlIV6CJBDYHaLzrfby35ws7nomh6LF0b0/oyLfoaLSn0F6UtGPDyCp45mDQKQcYAXuXl
WPN5U6OFYotZFAAju9ukcQe2UJdz+pVs1NohKULhydZk6ju1Ka5cCme2MAMD0qRpj6Lbmpbo0OCa
DeTxfXDiLfk/2rXljlY6ih9cfnW+6entvQ0S2y+PEleUY2hHhevKtXvuCxiE+wDuuCfeASvFBJRL
aSaQNFmVf5Ql0meItrjNo9Ub7XNeBxMNTcsuek8xFPdaZHJ2dDDitNKBeunW6mKkJ50gh6OPftq4
AwIfUav06JBMc7kTqTbVNwidVo8IVxp0DNJovobcPrOjl3yP2x/o16J3d3o75sA1IJtNqg8fI992
qp082q1lXrEgObOjgaAvj9uSNyN3cTpKghQsSHBT9QujqXyaDhR6oynZpOrgXBlq7SG8QAbIHhcf
EtZzQQ6cjjUYbaNjoCT8elbdF80qjOeA7+d1el7u5ggojYGyzAbDeajytnQPph60SEG1KBlZmiwO
/Dx8GeYh2mhzU/0QGGY8COqIH2i5JDdVIetjToOFYDwWw06x0vHBrI3goNROerDsqNqng4B2Ovbo
aCiOxMkgo6aVDKK95vd5bvV4AMh70B6AKrOKa5NpsiKAEKrfmH3s9Wjr7Gg2ZdvLd8T7UWAPQ7aD
A4QcNUfk9Is2DXd3lvSqL9GCf+hRzz8Km/rf5VGWQOM09dcXnbRFBXrJsZzVO+1GNd1hIDv+5KLr
Proi/16X0/i1spTuQQXj+/fl8d7PapE6WZj+zImgZDXe0NuiLoyi8fMEoo9tzgCnjdl1P/0XwyxK
J8SUMJnWJbJUNyfTKOLW76062eNkLu9n3W5fLo9y5iFmJuwDcPaLcKu5OseN7LSMB77ziyHIjk6i
la2XRt33TquDYJvJeNiWna1sF+DvY9pXMVJdENv0KxHQ+0WkfLSoKPzyaXqnZM39GOHU4fagydJy
m6ip9X2yi3whgtD89Ww7iM3j5am/v1vATgDyB4a/WKutnbBiaFq02tLBp+JtpN6gUYmE9KTcRJ0U
Hy+P9X7PAFvlVXYpyMHXc1d7BiyZyHsNEL6OSOxWUyu5S9X+GvzwF2Lo9CigSLk0+ClqqO8VDoY0
TLRBAUVaQy3/GjTYlG5yt4uO6LnZN0oi9KVTmYlD2srwsx7O00dFcWlYaaLtqNiVc38N5fR+YVF1
IijBYXSBYa23sW7Vwm7KiuRI1uLQVr08zIOZ7lpUxh6VJg2uxCVnVhXMPV8Zr3lqEWtQFaiCpp1j
XE+maMr/UvEe2Rdta2zj2JTf/3BRF+EW3gkeOkjSPByn1xt+FaYkbdD52obYDULae0ju16RA322d
f+RhwInB54cttPz734K6yATvAlxU9yHl/BROTVNlqK55z/4SFD3ZOYxCHAEcEJ0c0uvV40cYg7VF
HFu+rdRhgddnOuV7pZyCPaKtLdbuSlM1hy507Yc5FMlLjk010ntDizM1XLXoS6l0pS+m0voBNqd6
BHHu/m3Yy6Pt4LS7SW0DdVqbrP3VyWTzk2fd/CtKXOuFRuHcXdkEZ74Z4kawLnjIl0dhddzqkm4G
HEXVd6lS7jv8VDZooIsrVa93Wxv6OyVKNEeJ3wHMrZ63kDPYpLGr+gMVqPvYGIXjCaVt742mjneT
hc7ZlXm929zWwogA12iTclORXc0rDlDc1FCZ9DsRRm8TDaQnPImch5x21tc/3tzoTi/7gU2+xEan
264zqxSvWUf4CP9PIHQ6oP2BIQ+XR3l/Y1E0WdjyFv8h/12THYMOpIKcWtO3Kqvzx7DrD+hTJzfD
pBCYREUMAFcN8M3C2jZN9qGOTyHBbOnucNvVtIMZm9ci6+Ujnh6FhUdNgkxbCpeKtRujq9Z61yUC
X/DBolYUq1rwUYtDukKjdPMP8eTMNHTt+u3yp3i/ZxkWdWXKt0DiqRiffnA1Hluzh47r94iAPuZx
M2HgUrZXGm/v9+wiJUvQQuKNvvBaMjqoUUGoqszyOTw3jZp3W8Ws/Fo4yqL79Xp5Su+3KwtqovFN
WMFY63xUDZw6dkpM5VlBvKhc5H6QLCi2cVBfS0fOLBpSRaRD3Mg8NmtRFTyPFucN7GYzBXTnd5yx
CtsT7QwURTjxOHgl/mnxsYoaO7pyKM98UpRtqT/Q96ICaC5f4bcLuh8iOzWTwPYtcsxbylg2jWG3
yw5WqMIn6uBP3Pzxd+WDEhJSfOO/69wPmEYVW1bl+BbKvnswYP0+yDCAovTfX5nccu+vDsPyIizl
IpQ+uAdOJ9dZmVmpk3T8yMKpx/tf9s6kOW4jb/NfZaLvcGBfIqbnAKCqSJAURVGyZF8QsiRjR2Lf
Pv38IPfEqEAMMXznOt2HtsNuZWUil//yLEpsNDdmbw36RVhLdxMtkXhXaBiTq2kzXoTI5QOC1s4e
WiHSa6+LfBICx/UPKJIYbEBvOlDRremCz8lzYiX5TUv5+fVF3dlBJkcDfxBc6V9a0idKE2FLNIR3
xA0lwn8FMLPEHoyTHI36e/7JeNK7SNL814fdmR/NLi4/1FY49lsqKPArlK94Mu/iyax0Nwnt/k+p
zWkWjUvy19vHoqGw6m/D7od0c72WYxzh7j524V2qGhMYlErcNBaECqkxD2a1t5hUTjVudaJruvDX
I0HNAlpYK+Gd2Yj0Cxm3ca86hXIq62n227RbLlXkxAcB/c4NyjoSYq4ulcQz617+5SAuZW6m8sSg
haSp58yiTJuk9n/4e/9fdehfvHaUN6FL8AwRbSJgxlX3f9YfehZ9F69KQi9FiHb/pP8lR6T9tmpF
AXBmB/4iRqQ6v6HqSXOHNIH0eo0U/iNGpPzGJ6Wtj34P6T19Fu1/axGpv8FWoN1JAks5eSUtvEWL
6Pq24/6GjsHeQYuTohbkhE3QMy2itMB/yEGDOzJOB7305wB46SP2a/E55pp6ovg6+ZoW/mhC3Tm4
ga6vgn9GR3GNph/mAit05Xr/VpNUTgDz5SCJ0cExheXc8YIkXqIl9UEYcH0+/xnKYFVJXADzcB9c
D5WaRtpbWSsH8owf8lz2j6OtwxrGaI1u2j1IQ+ngRrg+nOuI6zUH9gXmA5qX2mbERBNUDfjKQUOB
ukbPWflmR8I58qp6uYYrbX+VeYLkyBO5ueJAcqdp34dyAE478TF/GQOFBsNJqaz24LrZGWp979kp
UNfBFrIrf71uUp7hrO9zJQBbEv4Yu2k8lZUlPK2i4vXLwXr/z3v7q3bVzlAGyfPq4kNAygm5Hsop
gdEUdhMGIcDbmpB04lnCptsNsZw5CqV2vhSDgWWhOYTo3zaDHsuYWM5Jw6ATUvK3WWpFgCVmf3l9
Si9HAQUF6pN4iA4CHd3rKTU5RpeY11pBlozlqa9QpIfpJw5GebnPkfyiTUDqTLmTO+d6FBsr9Ri0
tBlIdSLOGXrgnWuOaA2Aq0xuwx7vBqpiy8HO2JkbBFt61dxvBNtbWawyirpMppodaJUGokyXxUXS
q/lgbtdx53qiUCpc481V01KnRHg9t0FXKFTR7Q20mv6kqdXxUxrbeRBpknUPhP3N7D0AZeRD1Ivh
qnFLbSKx3hCy2cw6+12U6t/UCwak4hGgv8Mg7khU+npuDMNYQPboL3CUVXtblUQdP8KvQlKCqUbh
2i6b0S/0vHgUC+ALCpP16S27cX2uOMWEDQinEf4Bm7teS5CwGXTHhNsJ+PoJ42TA67MBZM19fZyX
nD+Y8qCpWD0GpEO3eWFECbBDGrg0cO2ECcBLnGauPAP1hQfnnPq+yx7HEuUTNR3Eg42wy3dRQr7T
+1Z7MAod3yItno4K9S97H+xV4kGyCRkID02B6/lbPTLo4zzIwTSmWEGomY1wZJMaN6UD+XHJbeN2
WtruUtj27PezjLDcqMa3etnWfiisVfPMgPDcGoZLhaK68IjbpykXTmBq3YKuQqzP7oDjmZ/OOb6i
rK3ka+YY3kyDiP0E2pqPhHvuqdGAj3mNHkKewaIwo+LoSrg+nD8/9aprRJBPUsETsbm2QX3HFhwd
mKBmq3uJMcS3YWxUB1fA9Y39zyiUNoh+iaIIt9d//kssOlGERX+zVII2bLObrsJ4u0lCJ+AoOweP
w3r5X6Vo6z0DQgKsApg5IrjrocJyaREaGZVgnOTBT/DrgKVkYK0sTeyb0tJ8oJHzI3bPR1qHe5N0
qHCulcNVx2UTcKfmqEVO0yiBJAyciQtGCeum+laa43DQndv5aujDcPOsklgyNfTrSWIl0XbLrChB
k/TOTU1p7EbNy/wA8rE7ylqLooJOFLitwUhZLtXxrHHFpVV1SRr1L6MNjzK+ne+lE61CeaUsToVt
c9aSNoIQJ8VqEJmDeopatVrrI63Xa53ZunOmWs+Ya+AaFrXTwZOxOzTwPFQhATsgunm9ir0ZFlKo
RWoQZnP+HpXK4puZFcqnpTeHz7I2CJ9fHHpaazr+6xffiwtdB7uz1tTQvKKvaG+2StjgDj6Gi4IE
uT48REkbn4euS/4gicQ+aamPWL47W3MtkKDgQZMHKPTmcdQAz2K6zANSJpbyVGCP6stLnQo3G1rz
oEayt2vgSmtr3qCDu9ysat1FVBLxwAiifCrxp87iM7bvR7oxP8WQNudcJ9kBZgwDgebOZt+0c2hS
ldcxqQ/F3YSpR15Jt1os3cty9KmQiAgH60et6e/72PmqNLYrKdOpNzTYWaVqwegxDnbT3rwRSqZm
ueZMNF2ud1ML0QZT+VTlke5Kz+zC7K4YDPXtNymvMk3KlSuPXM4m7JCqNO4h7GgBAinFM8TWLMBn
1zgtDW4yb9+kZCe8CSsHHhz59YRk6F11ajGUXMfNX/ISDYEWL+anEHu92yx0uoOE7x9Ezuabkqwo
1GGp55kvepBWUajajB1aMLWS08IfHI1nieNjuL0N59IrCE5Hn0aw9CHFlkpx84USBwy3rLrVlCIC
RmTMOn6QiVU8FG2ME1Edw4C6gXcxzpdwqvCL0ZPcuq36VJl9CSuqpyoKx499U9B/7Fc47akzClyP
YJvbwMkdvXSx9Kk/qHqu9L6yZPInuKrWY5c2ie2WFKUVkJWD9nHoLONzVA/5s01beD7DkStOzewg
z+EMcfGM3sJiuWOR0IcZlAbetCE9Id2jN6dcz5cfgisDxQlhF3f41Tsf8QeaK6+Kc16PyIbhaTeG
VpxbZYieCQcx15zj1qhRPxjs4gYgK9TleZ6Mu6lP7YmmcdeJG7TDddNDJjH+u5mFgtNrfwtZeMGw
B93fL9WY50QmqtxBlWwkPXeXjIfEg0OUh348poYN1Yb4zU2lCnSvbsWqCYPYCn+nDNF9S4zFllwc
foZPAJzDTw700PfGkthPWphKukc0IDXeMKGo463A+dUjccLuZkYQ/Rkqp/p9jsQ8ena8OJFnQD39
OGHdop0NOZS+ZDOGWCeh4sV+qkvIiWg+OrFvFqWZeiIu2kCNkEHy+lpvfo/nMKw8LZZ7G1p4on9b
0mjkX9BRqawJQP+oJDlTXLMr9NitQzma/FHW81v4JsPglpreBmVe5DmI2SW7jFBBvw1haU6ehRXo
7NZOY3yu4sQqvUYdYe4WhZP9iRChIrxaLQrZx+/RMZEqsqa3Pxa0gkgACJJlstDNOcxDSdYXO9OD
tuiLx7yTMmRr4dUJSQ7Psllbbw8uVhYSyHWahdwx67P5S7CmpI0SVeD/gkYtltvc0FQ/kQ+x5DtP
ErELBSz0PsB0bN/9xuyXpCwsLbChDLs9hHV/UQvTjXBCOVjAnZsZEADtEHRwIYhs45hKBZlUpKYW
xHiYfQC1FN3AezuKpF9iRwD8M5kV/UYCipDN9bqNw0p6jmQtiBZApKBOQw9vzPARH72hdHscKho3
abUYMus0AG7qwYir+ZGNzk5osWqQo96DWClX7OapXxAsWYRwtCBfTarcXrRhIGHTNroLJATS7/QI
Y7C3vGDl1/IlEDh56+89zVqjiCzUgjqlN2qkGIGWFWnO66/RunrbtwHFLSBAmPKSNW525UDzPNU4
zoFhjN/NSvpYz8bDlHRPhMHPdjI/vT7czqR4f8BQrc/RGqNdf0zKq5LTITsWdEOZ4/1nGX49msvb
dyb7AN0NarbUf7aHAHKnWTkjk4okFZr73IOG02fr4CF/CWeges1/17YVKRGG79eTmeq8auJSRQij
1K3ec9Q6km/juK8eo9jEkEtMdNq9psvFcMJRcy20anLqUS0i/C2ViAe4BNrwOdVm8b1sZvWUcsxa
Lx+qsDgZjTJfVG1Ec0M0AgE6q1L7702ChEJc9fn7vCyrr2//OsRafBfkasn3Npt8oOZhLb2iB03b
x742TNZpCkEavn0Uqv9rWox0pWJuItmROxBjnpCvY8jDx0XOxi9wdI+ks/fuDZqWqykFoSzbbRM4
xvPKbYf7HJhxZH4uWc4PcypZlicVhnaTQnCRXV4F5a+5gXMM9WIOWu2wFrO34UEngjoAv0w9YLPh
O7Mg3jOEEahNobwbwyr+cwl5+F9f0p1bn1KWzigcYWifm8RnsXVJQlZGDYg8vs1pGF0GQ668vB/6
0+sj7cwH+Dq9A+AUMCW2yV0+w4jKaySi4gnmdWIgH1NIVntwK+2NsnZc2Im0K9HUvz5Zg2FkJWGY
GiQ9ZtpSkdrQvolAXp/Lzt2HMtT/HkW9HsW0KKdrzagGhcDupcoK8xkDBxXhlWS5U+q2+pgP4igx
350ahA+HtxNXsq2xbx9lSxG3BVMTNqDt1pluavpBBwu4syFW5KgCY5Q8Dq7e9dQiKYacIyYtSEND
9cfI+SLTtfATkcUHi7hXbITRRdUEtAcJmr05Z0sfp2ZDQTdY2pUEDx/b8cckEXRfOJ/uIvoSbRNa
KScodf1Fy6bkXFNt9o1QC5+R26zclD7X59e/7c4y86vWmXMa6NxtogbNphiQR4YWoBbSnnKehFPc
40D3+igv9bV/FlfIrCyuM0jJm2FQwUkn4eR6kEfNe4xi/x4KIve86c9YUf/lJImfSp+tWnrHQ/G8
ZLPqAeB/sjNp5bCZfms3wo368UPSzk9dYy64uB7dDXsrwYNLeZuiAc3PzVnCgo4S/8xKzKpd30Ww
7s5RirLCwUrs7bi1rkuZjq4YrcXrHbf2OlmrXg/CWDcjL9ZFPVB3XfTHZKy67Fw1/VyfC5mOoEty
UOYP6pJRAA8dkX0STYSIFP6z2u+6WiH81Mch0BocUClZvf5D95ZjxcYCbmNjYKBy/TujSksd7Jq1
oOgHy6uXuDjJqf1mbCBzpUgDZ0ImCKd4eT3KRH2vY9Z6UBtTdxYqOpnJUDf/hU1uYZ0AshiNVdBP
16MkyzjHYc7uI/kbTrVslhcTPamDTf7yy64t85UXgdUMZdHNihGAg74SlR7ovRydEX9BvjhRunMl
urcv2zoUOH7gIwYEo82yzXae5loreLPlyECKAynTLwhMHJVg9mbE00WfiX6EQwh3vW7DkPdgXbkd
gXlhkmulP81rDeeMuJp4en2/7Y21KhZQICQWMbYa3cLS8kY32W9RbUX3U431pj7aUjA3wAtfH2q9
bK5jeWI3YqpVG5ZwdBtr0NZRk0kyjECMc3WDhJl4LPWuvNCMsf9KQnS/6qGTj/bg7qhAU0E1kXES
DV8vZlJgLWm1shHk1GAe0QYpTZSlIKIBAud4uainFD/0CpXMOAbLQzhuRdZ56EssIEO5hb/U9blZ
nJa2LzQ/GqT0EUtc64tdFikawXUzfe4MtXpqei3+jtyY7rghtkZfRhp2yP/By3yn1JX2Wa4L5ylU
JlT0bD0ZEOFd5nd1O7XPYzQ5Nl2eMr50CCrxqhcm1mFG3VdnoxL9e/zKxde0mWqcu3WKRl4GDHBx
tcKJnhpkq56M2FA+UfJuGheccvix6rEOcGUrMn8kKlWRgzvqJWB1bZPxpICK5VnlFtmsaZ3ViYF8
X9DN6DTX6DbdYDUJIynkutLB5fpZan5oh1S7yUOBvk2GlwY+9Elx70iJ8F/fVy+vTH4FAcv6nhJM
b18QKcFyqMetJSgQhvEFoA4vNGb7YNJ7+4gQloYzbbu1Pno9Z7VHByprVDPQE2n6YxrR6MpEUtyE
bZIEy9KZ7jBUzlsByAxIkXutllCTJSa7HhQmVK9BTrIIXqI/lEJLn5qhNL+8vn7aztRUsioc0Gil
Q//cvI1GO+j20g5h0IsR8eLSlLMB5aB5lM6yBcDYdcBcQ3GmVel3A7jZXpIb+ya35OxumQYTjQXL
lj7JWUJTlihCjwJwksu7ZjHL73VVO9GJ3DB0vNzBfjbSlpHm6oD8H8x+jSijSwfdrQs1IxCbdPT6
qTyXhV9pdW2ghTSL930bgYF2EhJdrsMwH10KcbRPpLDMPybJUkYBbiC5hVix2ZUutd32iOq9c1Fy
eQA1IPaDZrXtjk+wt/hPZAVtOQp/VvGI77panEStHYFPdobiaaZmRYJhglDafPVlwWqXw26RXuTm
uQ4pikuAkS5Z1R/xN3fODtACJqUj24JX1eapoW49UGqfmRU0L8RhGvMSC+soDt0bBY7AWpxa57Nt
DnXy4MD7KW00XA3HI8UvYRot4cH7sjMKfj089mSAgOm3BT+1aPOqixM9WLuX585MpotWTNIB73Zv
FJVUApoW7cMXZcW5cjDMSHQ9KO3eODeT099Ugpzh9TO5fuLNW0k5kUCDz0IUsIUcz3pGZZOrgd5L
QRVRzj7p8XxjaQs9CojoSWie4kX6+/VB11ToxaBI9q6NGHmNx69vm8oyO9R1MyOweECIfKX4KSPm
+mI3pXKJI/QkDkK3nbVcETyMSOl0BeNeDzgMPKFJOkiB7ojEq3T0v5PWLC6vT+vlKHymFdECOB3Q
3dZgBf2rVLaQqgs0G3sLB8X9QJso8b99FNDhYJ6AtaxIq+u5NKhMduqcO0Ek8vIpFJN6TsDLv30U
wP3EfWAkoRRsb6GhGSZ1DhsnsNZuTK827Vczo2P+5rkAR+PLUGQDF7n1dUPrzCpbiHwBGJHoaeqt
6ZwvWfbpvzAKiHYeNuJ3AurrFRsbY44V3CeDru2rmwWxQiQ77ezNfQ0K9EiLA+shy6RyeD0KMUdU
ZVYcBgsEa3daEGsdo3I5+C4vxWNWjZqVB07CQ4d6Wzcx565z6t5ygjIrU88mSkPSvUj9ppyqC5aE
K6JpFn47zNO9VJbiXkJB86ZKMbC25dI+6U1S3FVRpD3MWBkpZ312nOc3rzf93LUCt5KMaFdcr0SZ
6YtWU+DmJyr2LYjAwTdr7egcvHy8CA7pJCGgs2LQt7g/uxpQR82LMIgXId3mw5yeh7nKglFNwwPQ
z87BJvJbcz7CIxKlTfGSedYCoWEQoSgyfqdrnbyrRG0fMNx2RyGsNEgtqZRua1UOFYBltOowUOW6
84US1zcyTeaPr3+c3WWjnAgfiWYKAJ/rj5PacRLbFaPYbRWeZDWKEd5c8odRHY5AFHtDgUOBcLAe
vhfxcgwJQWhdF/JJ6tZT1AFHnNDS3LzLjxAve2vHRaLDfqfWjS7P9ayMrh27Cq3eoHTE/M5exuS8
QCPz3752tIio13P0wBZu9kFWK2D0JeLXOLSqGwDVvFa4CkDcLvvb14fam9CKGSc+o2L1om4HskNC
hmIOA4RIM1+NEoSi8uGIcLQ7Cm1SSIesGso/18smR2UCEVWjhRcv2e9ZOX0q40I9CPtfvvaEEID8
2QEsG2/j9SCDpCMYWCdhQHYqXYBUZO8UESduMsjFsyUf+ovsTcqkIQXWYwVAbeGsMW33CsVhrnsz
Fc+E/9oD18RRmL43ikW5FgEvrKNfPJBmpClDmvOBqN9gp6MhsqgjTPDh9W2wd4RQmMGDCboUPMX1
V/zSLF/MAjBIO4aBNiiJH8m59BDprXRTi+JIx3J3QlRL2G00Gzix10PpjVCU3GGomqD0qxDIBSXA
447WbXdGvwyz/vNfZtSgbpMW+MwEo+jUBzkxHpFxiS+V1B95mu3tOw7Q2l8lkqE/eT1SpCBN3rYq
2WbbfRo0K71E0jS69BC7k4mc7kEsszcxOB6woOm1QoTevP/z3C0IS+u8/5lufWz7rP4sws7I/TCZ
5qMoYOdj8a4i/rn6lkKe0a7n1uFbqi/NEN0tltGcZmq43wDciC/DYF2kyJgCeUrLS0pyQXlSqW8z
s7IKV53Cj3SKmxsxt/m31uavXt+uOz9r1e+joMxlgkzIZsmHcTHybBjMwCr6EtFKVXnfTZb27c2j
cN7YoeDHoTNYm8kbUlfkSqSZQbwq7ax1hlPSiSNn1p25rNVDGDs4OfLqb77nWDch1STmoph5tV5W
40NUy8nbQ4sVy8FrAsiQQu/mSbGmqLLbmppSuGDiUYDyO5mNdeS8ujcXALDodgEfIQjerthc1Zmg
2hDIKrJYdqyktCfi+s0ZK8kCgTwCXwimKltz+QRIVNIptRUgywwHeLRDwG7dUY7/8pyhMEVmwqPF
gsnbmqAT009TUlgmYjUqKErhPNDitk85XsFvfoQZCj+/dRQyre2E9KLKc0muzKCyJs2X20SjP66/
meqxzgJpfd5IZD1f4ADaSjVybOIoK8pA/uKkX5VRZhkDBWxpXj856569TrzXoQgoVkILJ3Wz26RJ
GuHAsqfn3v7cZ1IwxPX3yOofCsQl3WJuD8qKe9+K9isAb1xs4W1tLvtKsfsyy9bdLckz2LtxPCWF
XV7aPE7+H4daX4Nf3hWp08p4mVjFuJRVb7LH4dmucYfJEZzxX1/Flw8Lm5s7l8YMFPgX/BWFcj6S
oZYZjInxZFjNdy1qv0St3bpNVX5/fayXJ3cdCxgKLUXKptuSaWHmFhbFVAMTyaldQJvNqW+XI325
ne+01tmJMgABotC3ubf7Hk8LR5+sQEQdFMU6kQxvGCeh+kU72Aenam+w9c2iQUocwF9cfylZydHv
xM4uiKIJvX8gosA2l29DzvF68+IRpFPgZAW5X7fX3jgWTjPGqh3MlNE9ObeGc0P7/+BQ7XwiwOjr
ylHS4lBtygtNbU1NHS92ADnE8WZrporaiB9vngqJJ48R+RTsk5+col+2N5nwmOQq1QWl6YDEiq64
yYUqHU1l/dCbC4JgdhU8wSpPfxGrj6qJmUSRhwGWN0t/kqvQ+FaOQ/qhgS7xcRSphXOTOpvqxbH6
9B3Y1Tz2UU6bYq9CQGvwHfwC0pM6asj2GlrVuSLuJrbVMg9Ao8Os9DNkMRxvmkOshsIQCQATpFXq
Nla4tC7cpPZRb5M6vbBZq6ckNKq/c2eKIesbat/ftFYlfZtMUKseDRizcbGu1jJ0wM3hgxDhEmKu
3DYP9IbwBeol2/7etkphe8jtCPNUo3qJgZQtMLqOJN0uvDYvtHdjLSWF2xZIS5xi0QA9EwoYKfBm
inSw+X8Wul9Z4S3yTy8mdBEcOwxSczAf6tGq/Fhuoy+trXWrdwSVHOGovqEn6odBC4eLvQjdzbJF
9qahFadcUQYvrDTdLXMhn81sqbxxNpcnnEw/lVo4uaGcZI/m2Drv5jJ9e/huoPhBdX0tF/Mkbm50
vbTDXjdaKTAckXtNXaXnWCCejAftt9d3/M41AZBrrU2jr7liJa+vicEONaRQyU1lfbJ9e5ClE6V8
i3JxHB2E7jsnmFiSKqfF2kPI2zyLIcYSupyUUiBFRYS2ZV5dWIPm4HDtTQguCRzSdf1I6q4nFDbq
IlVlIkFUbeaz3VeZp9TRH3onG/7rS7c3n/W5pWAFWuFl8QBjkrxAMTOgBG37w5hkBrixcTqC1OzN
iHoLoHFWDbrYZjPQpoqrTsQRspRC+EvRlr9b8MxvlsU61C5aV2d7bugBUPGj8EINdDOWVksLhepG
CpRheuD5+NBo4tNcqblX5HPqougou2ZZfpDK7qIP0qd4mo/KPy8dLqiZIczP9Uh1AYGUdd1/uYQJ
muoGLSK+YG62f2OXWv8BPXPx7RLEdR6ajquEbXjJigaPVlttnuy+U3C6acY351kraZxaMy/bWm/e
5CYRFkZdESphMOd1j1wn3AmtiPq3P5/gAmk1AENB9HS7YauJvuiQOjwGmW14ChXPU6rWR1aNOwBV
DjjNNDJ1Io8XQWmzzFIet5UEElBV7tRc7z6lsTJ6SYiJow8aASvaQVKeknlxHpdK7j9Gi8jev/nI
rHbXIG4RMCOv3qyortSmsjjca9hL2c9REcZ0Dmtx0CPYOTArqIeEEkzDWra+3kDIMY1OqmbRXRGG
o985Qn1eG64PsRIdCqXvXAJAFSjCY/ppATrbXDclHu4LtrJSEMocEE8Nh491lzXawd35M4bfHEzk
MzSCU3QmaORsDkVqddlsa4yTDMuDMExPAvO9SpTfIz14i9b0TSrbPiHz/TQm72Ytum3teXLbPnrM
zdxvwG50ILwx88GZq/izy+tzijNSVjg3SYS/zixPvrHCYxJNv7z+0XfSIWCRKwsFET66n5uPrsxY
YeeyHt0Bi/zSA8pwKVNClSaAKDT+V5hvZy9yYNfeMWUiipPbWii+Z7YZLU10pxlx5+qFMt/yzg0H
ifjeRcUAXJOr/Bh9tc2D5mCwOeHBGN3Jdo6jZZFe4jyHzAP6zjDfmSGWkHyUv5q29ObUfD/21tsv
KGJ7KokKeS1ifZvbOq9gpyXxHN1B8lK+J6ChFLduAEe9/gH39vja/gFGTI2Gi/n6PFGAreNq4QPG
k637adYoWKdF2cHDvTsKx4jIGGl6qlvXo2BANiqLCKO7fNQjChtiAACizsnovz6bnZuQGgD/UZBk
YHs4mzRMSBXUYFlP7nBwtXR3QUXtSUU4JnLxwprAiy6gWdxIxazzfY4J+AfSqyI/Rd1U/f36T3l5
Ua2innw8uLuAZZ3NBgKzmWu2LLI71dBukcnPLshRYDCEs9frA+1AvFb+N3uFO5H2jbKZc5rhd2+D
b7rDKXPyltAsvjYwpy8JEFlC9VJCEtfWwlNcz53XFASALMWMNdusxPcojoZHfLi9r0BiumLuAZ9R
LNlcnAtgPGNBl/Ou4rM/1VUdPVJMqR6ysM+Axoj5tp8LjBrz3ngsZWUIYLmIN5cF2QIIuPIacn5e
oCWRG9cyCw093nal/yM0a/k2UzA6O7i8X35mMlZSSsbhnBICX+9sJ3GUbkjM8q6AvXUal8G80AOY
LkKujnLxnaGoVq/QcNrfcMQ3N0Jaot5ZRCrPUTRLrmZUyUkoeQ/AST3skf/sW129SfSd11geLQgF
DPY28bcSPN0dc6ruLERTK3+CGxCe6pRw7K5rW9PyE2QBPiHTm9Op/+nA2jSIhbsL4U7QUiKIPRlN
teclqRXnGdIR1stFpMGeh6+linvExpPJRXoGYztpGipxMUXXqx52j1jCDtQ2lGqK/tLNKq3c2MSU
2P5pIauvbrLFT2NZaeHYus5Pw9lGrSI4EFErbnutWJ5Do8MeTujW8LkDx9r5OMFwgZr8pNgt0atS
MO/G4dZRyuV3Ul9sb6OfFrjhkhXDDS5s/HtdJcxHIG8Y5uJJbNSncsRHF086LHXVMClPdtLEWHSt
nrtFExt/SmGiQub9acpbZSTMblwn+o8sQfz13GKR+LlbvXxZwOmuwLZxdMvV63ek9KKdqnrQ4oBi
7DQ8K2UYRidRjlLt1U5Sa24cIkTgNmklLe6gtfAPwrmpPlkihZ2zCGMR3ljMyM+4kBw1dEZb1i3q
ZVXMPFR0pm/tZZpU35Sy4eucdWPuCwSB8xPpNF3e3lm0/DR3hSnd6Vqm2g95ksQBf5nN/tgjAFH6
2oJvgTdGXXpTS+b4ddSXuvSEtQotLn2b4eYlZaPzqf/pLCq1qfNcL+ikelInU4zVhqL90M6WTJl0
sjALAiequ7YQZu3NmWGP30OlEPm7VlWKGnLDYlVUje1yNZ5WlB8ohuTPA15bupdGoh0Id6LwD6VF
d5CaR5225wbJqepcl1khzknSR9/DzCHx11Md/jCNZyX1QtGWn3lU68bVUtVCaDpHTxQCxTKXwImz
sb/DMK7MLhLINckfnc7AnHbVITxb7QS93Jxxo/JaZ9AtQLsdhsoz4UNHRSceTW8x89Rw9YzejZ+r
RQUjY5Ymw7NirMxdgUC4yhaksgrqNRfkyZgeq3ikNlhTp+jSYDI5T/xpYdSpDjIIiBhfUmmZT11P
Mu91k71U/pyoNRr4Bh5qmJBH6GkJArDHooT7Qq0I2TcfDHn8btLB8bkOVkePGfaP0dkwMdj25DFO
Wr+rY2bWj13ZIgYfi4+W0MPBtTst+XuMbApkE+5F2AVIofNYSsaUeP3Sm7prpnnzOyhFR4OVE2v5
RSL869/baLQKuDnOeK8qo+p4eMthZCvNIVrsRt+J6b5rFPPzz6fvTdqGj9WP8rlrfvzoHr5W/339
v34T1dwkUdz9j+u/bf/5++iH8L92X6/+5lR2STc/9T+a+cOPts/5v/IH/eff/L/9h//tx88/5eNc
/fj3v75+LxKUYduuSb51//rPP7r9/u9/gRshUkZZBP1/eklwB3gdD1QLdxQL9/6U/ygW6ggQolkH
WHSVr1PXgvcqe/jvf6ET8Ru2YIA7CUl4nVfi+H80CyX9N4OKABrCa1LMfb82X9tVMfHf/5Kc31bl
J/g+KmDalaL6JtHCrTAIjRNeZnQ4YNNSxaEof/1kToY+GI3ULPeNlprTCT5IT085qQfJixB4SF0x
Z3lgJ072LS+M5jHFrFC4qshRJxjiykx9ZVi077kZU/0LRTzcKHhJH0jrbMlo//zKVQyJRjTd/K2O
R4v2GkrSC4aXmbnclXiHPU/09nuO9BSdxhDElCY1KZz/vPFaPZ/vcAesPFnMxp2uhu2XPFeOftNa
1//lUf7nN1mQrAlwV5+FTbDRjhkHKokXzthQnqcO7PdkxcapISsPoqp7NoxS+1ImjuS1o1z7A5Wt
3jXiZDxLzde6gV2p5YXsRtWSf0JZpjkIhn4W6rc/EN4NNHOwdYgFqdefNp+rsBroIt1Pqd7cw8Fp
L0MUyWe6neNjNCXNo4hy8qmZuyoFii7HPuY4kY/qS3pJYt4DkeJoIiP8cMoXZ3BNG+hbUemL2ytK
fNbGPPVMo9XOklbnp18O1vt/fuavqoVrqvPix/9UpYL4sn736x8PnahvVDtb7ltC0h+z1iMtofVY
RNcOptQ5VoR5njn/lW9KygJuGP+8lyiYzhk1KYy75T4cNf130esSZGLceU80yfrGnyOrfFYFdEcq
EUClszn1JcXI7xYKOreJE4EA7+kpf17or7hGg4JJi5HK24JpNh6IcxQE1tYWf5i5yRIxQDZRxo3l
exXYw6ml2eqpfX4kKLou8PUHoEGH0Bm0I/4LEf76A8xtpKPeGMr3aTx+a+J5vO/olMyXjCh1PM3Y
mIdoe4Q9XcJkKv+QFxh4B4nqTzjQ1W9YoaG0qslS8RrDK+H6N4g+z9KqEcu9FSql3/ezcWkQYzyN
+pz4PXUN3zaz7rZptOocmVPqRu1o3NlSKZ6QhR8uWmfjaO7ow0E54GfA/eKHcVuuLW6qUlut1xgO
cBpZ3JrK3LefBgL0S09wjMx9lAwBMi/ZueuaB5GH1ntzzv8Ec955ddibrtFGgzfzKNwq2mrNCKAA
ObxyuC10SXuv9BBa7QKRnJHI2Y+sePItuZZcJG0ct1IqiCNxIh7QtrddLsrkVgyJfNbzeHxCi2a5
CSepPmtNNPsWpZEjUvC2OAYyFEasgb4uH3lNSDbZbSNPSLiUhXy/TH1ue0oYm58wz0McBpXPd70T
Ss8CSti57jCf91O9te9gwlDsUlsl+V2S7f/J3Zksx41safpV+gEaaZiHLYAIMsQIUhI1URuYJjrm
yeGYnr4/KDP7ikGWwlS7qk3ea5kmAQE43M/5zz8k7wZPjnt4Uv69Tsk9OG5DYltaoiDrh2V6lyIK
IHVjaOw2xDSw/G70+Nl6GgKcUJoZGZqpCrTvv99snp+C2+9ihbHEtgV/ruaboR3nuGGuR73FbRCn
8ty0wkqDsRilfua+76260GNndo1bV3pM9HTzm4Yu884vuZ1QH5zmI5Y4iLkiZ27Vpwu392wz3G4P
VTnHs8eU6ny50b+Ryuwt+rHV3FZimkjYDZHuff9WS9Oa7my25lsjDWZtn0uy8XbtUto3uZ8YZYTr
deuErl2WVyaf8fUsS6289syiu0WDQeXoWRdV2ueA3c91grwNGggf8DbiePrhprmuZDIO+lEFkzqC
iVpR05nWNTOwNZ4FgcONRnZ5KIQndyrLp1B5XohfRm7+8SnIs6PsYqOEk8L/sZ7eSj+7mEY5Uj82
a60+imFaD1NONRSOk9T3gebIQ74geTFa290XtVWIUHMYwwyTP0cuRxMJaLOMcUaChlHM/s5LMUG3
9WJ+tybCispBZXsvybvI0rXqwla/fU9n+wzKa46IzfcTu5yzrd7XtWLNmpGbx3qKeqv6Jub5o9Zr
PzqniWlw9q5+Mc91eznnF4VXAxUE3Rbb79kTc5NyFt60GsfFSPCLGpSm3jtNn4jY1af8YzKUAOLJ
rHpcvWytipchxydurSxCwl0ng9cx4q54//tvYNvqz26KWWOwpYEBACOzefoaRaPMdlw74yitobtJ
Al0RT78EFzjrPxlDzy7D22dwsz2Ac6TFUFJBE7HN4zJN7nc0cXq/T3s5q8g3te4dzr8OeTQ22i8a
+VJqkd1L/o2fpcm+c4WdRKsl1ed0CJYA0cSo93DS8d0Jx8XF6KLNMs2/JpizxVgvMGXwuE0XLk1l
nm0XsJ8ZXjBJQ61Oq3B2bHprpZnDMhantNMJR5mXbRszrd65Er4uktBVY6cVUc6frq8HH4FeWGZT
eWskyWLdWkWfj6He8F8jMSwDCJLkMrFnaP4YZr0ss7AdSykiSKES3+o6MURY6oAuoaZ79UOWtS0m
JX1Ga+vqMzCovvqdF60GHLp4g59lNGvrqkLVUb/HmJsMVVgIe83iwemKKs6s3J72pjNp2r2pNWYX
jcY8rNeCnWQMW9SM3q72vdIKBSFxDmqJTIx3uZl1zTe6c255phvz3w848OmnIU0rY2/lTjbE/QhF
8VoMmGauIexWww514kRlKGo5Uc0uKAi/uoFmidscX1Jxw+6Pke1QVJeS537K6p4sNXRom1M2+xJF
HDPnpys6a93Z7GaRnczBsT5YpayWGNBJ/24XrvUgza7/uLpG+dVkcGeE5tipz35fsGHrtpZbn5Z8
EX7YWyKvYh9LjDxumwSnAOBP/r23rtp4YSs9R5LpcqG7E1aFyQI+QnwiT+8Y9VaCdL9MT+SgTHeU
LsPnNunYF+ZCB5NYiPHGVM+eONeLodCATpol+KJ5QXrJIfdZcbrt5B6Wa9ugjqyms65VX8YUrM5M
T1XhY5vZOFr3pZta4V91k46MOqjd/ptKnA4XZEr3cE7JvLzwOJ7tSJt1JQoASPOQzO1zNmU5Nezb
rpueOmjmIIBrNr4zveaSM8/zs5Q2H1gbTi1AAHb7Z0/da7SlnB29PtVw6v0o8Ne8v3KJS+5Aby09
fQOYOhwzfaJiWvy0fiS8Xe0KENs73TEvGsNsy/LpsoVxC5IPGLZ5lp53H2XvtmYD++jUknBy6LVA
u2qA5K9shyb8D/f8nxUZoyMgECQd519IME64rijVnJbOXa5NLVivUhCz+E+vAtsDE1Iuw2wCYufT
Va2RCt90SjYnvS+dKHVmL24sssd+f5VnaAGcku03bJwPD5u0s8p5GNckKMyhOSk0m1eaP6srnA7s
d944BjvToNS8sDxfuiCziWDL3fGY+pyd4uOKyiuYvfaUCaPhyJn9+3LJRocDym8N6i2DRKU//o0/
2bibWGUzlT+bsjnQAUq0id1J433u6r7qr2t/Ca5HYQEkGbIZjAvv7vliZDLC1fDnZzb8rG7Pi8Ze
WhwfTmLO3au2ytt0F+Se/OR42vxnM0R2P661+Zhs89/NivHpOlH+rGeLrncnI7NQH9qWcLsYdmT5
xebc3/35o4Sjgv8wlhQbc/HpxbBblSMOEt2JwZIeWV7aHMEDultTQUAfi2leLry7F58kpoQbRsn3
dr6b6fBisQWculMzGW0IoqW/apZqfeWCG+1//9ueb948yE0VuO1Xm8Xy09/mlRRvq9N1pykJ3Cpa
MY6LTY7xa0xuxGMx+MWjzFNx9DppaWE6eNOlfuqFb4NDY5OigXmihTj7Npi+Ay1Yqju1VWrqEUb0
ehmn3ZC2oaXW1Qy9vqjbfb+ulsIFPe+nnS8rN98JjXHTDjaA7b4qNFsZ8Vx27m1tFJP94ASOyuNh
IF3+wmqAGsszebLrej5jMG4YvxmHOe7Z4jOTBlEeNIjT2nTa7B1giXo+2Esga+9u9PMf5IcxhlQp
WdbNcuXm0mUomZcf8aQ6FFkba/r0hRpwhIYE5Wm0h1sglzl0K/+hhOJxHJNURgtxUhBU0rsBjkI4
uImO5reHkTblX/mNbYh7x60jjeYD0yb3x7TU0VgHTD4c75vr3KaiNA5GKh/NbBivZdbPsRqFjGlr
1XVpbGHSZoZDFhIebrVMr1LiDK4xbTFPZa7FkImGh9RYjt1gebeBcg3QMxJ/53x86Ffh75M68OOy
mDYHvLlgRri0R1Hnzc4KFg/mTdrvaITH12s5Hgk7TGWoJeVy8jkmQ0mnHFrzYjIUnR3JJ2U1RxLe
Ps5tMcRVZ2fgda4emwrPGiuXaidEmhGdoOLB7X4Y5DiH9aCOptIeKpnfQoxrIrtzPzS69EMb6U5U
wdeFl2idhGX571Dmd0e7qh5X2S53wSK/ewIiTpmTzjOo4A2zyOFLbvnV23FsvxQMY0NPiW4nmNhc
FV0Kv6XECLWYE/0KfnBckjaLLk9PmDv6fTQhdoxKf5qv1Vi89yexjdzKrrRx7l26U9Ehpw5ts9Yy
amd9oGkZOX3idtQkY6/B97i2HF97sp4J4dBmHmlqq3Ci0PheLsgbIrFuvJCS0VQWUneK5ugVtUL/
Nc5VdcSN1rZQamXMOnnA/psBiOeUT0Iv9rIdJxHNelEHe7+w1o8yMdvuO24to7FXhT61N21hOX1o
KyDMxwILpVDbIqA/upq09HuZC/GxcLPxs2Nk2Jq4GYT+UNbWcKh6rIDipEyxydFMP43o1nhNynKX
LOrhVI5hacJH0pNy/MqQ2jbuRF6vzjWmeTXDuRyaxEkvemGEVZMHe0aFLg3/nHffCz1YHml7e4Oe
nvTgqGsyKeNaMtGLYDopLza1fqr3qoY+E9fCFdq1nTkNbDBfVYcpgSwa1v3gvfNmZyO2WKl4aMq0
GHakMhrj3rPn5lXnj/Od1ra3/UxMeDynmasiji9P7LphHfswGarUPgi5ZHf5kjbrzZCpIYimwCtI
76nw/41w7O6uLGNNvhaD1sRGqnXX5K9WB2UX/l1R2pCL0XgPr6rSt95myUqckWRKXELRSuuPc5U6
ddy2cEuRKvQ6IMZqdxUGI/VURY3TNDcL/tz3I32bsTcN2dahr+NVE0pHkuEMdYaOFn9txPmWtpnK
WEX1WoNHz5cQaKt9akZPXE9lq4u45BRZQreYhBNmhsDBt2yS6vUoB/AV0jqhYuaVYReR2IrfUNNK
8752RvLEAZCqz3Zb4Bine15RIVqTVrZv1wVmqt32RRrLghPtqqB+S2Kh3NmLzEUMY9RUkC1vhlWu
Uzj7eIGE9AJzv5+9NUtjsw66IZzyIDgaYjG9ve8MveRmCqOIZ28amii36YWhvw7Tj0Yuutj5jW68
MlY7FftkHsUauvPg9vuiqzILSFL22SvTnOdHzGttMxZTgsiuUwS/R0XR0ZC1/tiX9CV8VdhQJZR7
+ZClCs88IKvQSXSz+FiCx7yVORqua8WveDODK7s3mQX4F46BbL4m3TqqeHKzJP/SpLUqXldt171u
RNF9rtjDxk85Cgf+Uvywfhhp03bhlKXYD84lxx0QTa/QYUGSYskDIaehHDyV9KFWGLmIRiXWL3nt
93f93CR5XBIH0j+M2BwhpJGrnp5SB8bYrrODZIn4XFSx74260XdBaWmfFtNNyLFPNVPsCIYglCWA
amDtg1kPMLZaVfMdNxFDu16QS2vIE9ZJxrgD9Ta27V2tmN+CWL8i6KRWUTrCtNstTdrSXS6q+Krp
XfGtc2umMKIDd4hlJ8dyN8GxBHZQULrCFdK7EzpmtqYnW07ybV6NtmJ1Dd4aufmMFeE4rub3LHfa
B4F/+3dHZxKn93VpXXkEzIw3k++D0mBklJuc+1X+oXHNIbt3cm+17xmX9IhTM2lqTN6nbt5RaRrm
Ycw1Y2Dd+CK4Wct8XLc8tMV+I62JZsXMp5GJReEuTTR0RW7AramX6rEB98tYqJ0WDZ7dejeaSqsA
BGUmdtTufD528kP8+o1eYfe0kx21yr7yRrc+QOPhO0Wk0qqQHBwz2+emqKe9kdAO3oCX50bcAgxM
R6uZDUg45qD68P/qYvSckdysE3HL3o4vX7tKC6M7Fm3tgG229t+Y3f92RgDQGapFClTc1gEbKQ7/
a0ZABM2g/1K+yAl4/vf8m2Lok1ZI20KyLZOU/xACGPsjMgavY4/Y/tN/CAHmXyDN/AFUyNwYrc5/
+ADOX3jmQDGACsCMDI6j9SchhmeV8XZL6L5gEaMG5F7OZQlNlwqcGir7Zlma5THv3fmrLir7u6aE
e9Q41YwLfcezC278dAScmHcQII5b29NmICPHbcoakosL6c7v0kw3ONIJECT4oNp5k1VeaD6eoTZM
TfE4oLyD9wFV86yxUnrSt4UiR2kYh+HeWp3289hal7QxL10l0DdHElopsra3//6LskIG+rj4lRbc
2CKb7uu1cfdr5g4XxtUvXwVNA2oDBpHnEUqyD3A/qXx+C195PLYpwNfKCPqXBf367ybj10n8s86Q
PomD5yfoB1PlXJ5em0sfLN0c3DT0D8YuW93iKqgCa4rN1p4vXOw52sXVIEjwD4uLEXX09Mm5tmZM
0kqCm95u9THM0wWdVC7ULZQx8+sKKhr+FInA0DJDXysKfDfraklC05rbC33i2doEXURCSqeKnMNh
GnDuJwe7r8VZgGmPQ6EfujiXhI2T7ojG+pQu9SW69EtXw0UQIglY38bff/rL51FTZSLW5AZUx/w8
t4hJg4KUnqHrTBE6wrEvdJXPLwjJCK45BjDoVZ7JxHSl9EDr2vSI21sXd2U/kPhTL3LvaWSOXWWF
YfwpoEcEJW0/Hzza/c1W6ulPzICpByKEm2M2jc6PpEi1170jxN/Hzt8csBcW7PPPYvvk0P5uIh8M
J9lHf/34sFest/SY7lgllvkuAKL+OC1md/37z+Llq2we8OzULhT3p1ch62RyRat3R4JaGvK2vCxu
u6mJfn+VZ6McUhpZfTw36Ns4K5xtJB0ZK/VEv3gM6tW7K/Ss2404SL2ycrgwhTstBDkZxoWFsb2G
J2ADF+U0IU1+Y7GDsz/9acopPQu1Dc1u5a/3lpvbhOdYWSgMCwu9ci5eB0taHnC7ni5cefubf3fl
bcn+sm+Wdu8A+M7qmHqy2pOTkcd6ryr8zeoh/v2TPXce2/hbsKLQvwF0AGifW8KtanZqfTHVER1q
eijSIY9st2xi5RcioplT0SjXkEAQ76qT2miEICTTd9J7upgYQPOaUq/64Xl5vbdsLd2VIER//jRg
AYJscibrrOgzPJU30K79rKaj4U/OoV017c7L/JpsxPrSoPmFdcYkg6kvhQ8L+if+9MuDz1qtswY7
nY+jzMsrSO8utlbIaoy5L+lOmmU3dql14RN68aKb9xSeFBtL4Gw7cFw6Uk1b5yMRLDWyg1ruKULH
Y1YG3WummP3X3M+1qz9/75teyeSQ2eI99LOrSrcQVd8U47GCHng9r1MPxMQ+WIamcJZ3eVc7CNLp
+5Q9hJWOrHUV9RKVwqUhbDONzsNMr4xqHM3NEHl6PTpIGy6szhc+BAA/JBOYCRJG/gxKb+h120FM
x9FJFG0rfKcOKC3UlZgvbMrnkpXtQ/BN5lfbcA+3pHNSzxikaT4v1nRkpiZBnLBefiQ3LQCyB8EJ
IGfPyZeaX7mGXopmNSQYwvhQDna1AKZ1ehAlfS4uiX5fegLMl5iLMiTFTfFs8beKRF7HY/Fr1aSH
NC4BlAwNGX3VX1oRW415tusw1dzYIVBW+N+zFeH2k966KpuP5Iv5AF99lR3UMKtdjv/Qp7rN508w
ySwj9OdK4KY7+GDw6Ewhc3b2BQbC87EwbwN8EGM+HW7ZM99FPbGR8zPePJqjxNi3gDS6a4mWOTlm
5RzZA2oyxurZCjPcUz8hLTykuv9udQQfagBnch+Ylc1qbczH1tTcq06H/QkpvxovFYYvLhyM40Cr
+eeWyPN0t1ZLLlyH0e8RD53BjcAF2zxyWsWQqSv5eST8EmgYdlbuPawt+21ogxZl4VKZ0DndmTuL
1TqpC9vKCzWkSxlFFCfl9xYueHZfmeM1wagN81FVDeh1g5FP3Ca+F1dulxyMfHUjPyhURK7Po74a
7QNll9yNrbNcku48L7GozG2kSJghscmdL+J68HtGC+xwmWoP9ljOt6aXJVFF5XzdtZcMi158IXAf
NtMOTg2Mi56+kKqVRLbm+XLsySI5eGbp3o9uq77Mlr1xoxd/Z2mtiUemuPX1qkVJ2chjayb9jaZX
6v3vN1rrhc8Kvg4sGl7/Zv5/djdJlqcJ+RjLkYaWJL6iYPboIq6Yc619rSUt8F87o+LQxjo29Da9
L0CZ4taZrWhYZ7mba1PtU7u073Lez13fWcEu6MvimwmKecT2I9mhz513HuZnQMKLj7Vw0ZyEUWpH
8qWte98sf2CaLa9Eqaad2btf6ga4GiD4UsW0raizHQQS+Oa3gEiVofjZDuJDaYEbK5djwOveq96S
IdyoS/reZ4MzEIDNpAezMIix7BFPX6/VjkaL0+ByXJo6vcVgvEdgI5hB1au9U1OBNKVxurejKvqv
pZepj79/oS9VTEQdQI4iZAF143n5zsxpCVrOwuMi1Hy1Tr7YmTpQ3pYxvuubRN0T6Vu8E2zrke+U
cKaEhl6szNDpzprHsBS3zEVg7psXct75vRzjC7e4NUnnL4LdaDNSJYWMj+/pI+o7kM9xXJbjpAVt
5Kh+UylM8x1e3m9Zhn6MjKzeeU0SxDbpBhEQ9fiuY829Gj0rCCFTXpJI01K9dE9bJBASU57euSsw
JLNGV462HL21Xn4oaoZ9AdrGBME0v7Zkhl5NSW2ju5IfoEH0bdgOrQpIEjPa9QZBXXaHQxwjgf7n
eCD9OSrASoSxgQXDvI5X27yqvGFsY2Q482vIKkm5S+zO6EMGA/YHGoThHRIjjoGV/bI6WuWnse/E
h8oSYxn2aefM4Pt+2YHsO/ivYFQCcRSj2y6P5417Gjna3NTXqW12X6VKpvF6zOqgiCXuKWo363MD
tk/4DIb2+lC/LgdcbZDMT+pzBW4MkuxLvaB9YNlGfZsyW6zy2siiuqPjjVFs+o+ttVYiLNyOelzh
nbOz+gK1nKrS5lVAFu8D0lKZM7QRyZe8qfWTU5jGSpSInt2LLfVr14xW8coLeKg79Dj5wQN1Kahd
U9cKCTvRP2d+Vh5ziQJjX5Su92bukt4OHa+tfoz91L7P+KBGpoDOcNt7pXgt/a77ZviYYSkyx5od
urayCLGM4fAq1tH+nK/W3ISNQc55VBFs8wVGF9K3bE3U51VYDNUcJ28/r74cbxkApeOpTpO5D5nh
eD96b1xJq5hV9qVbtMmOU6ZQH7VmanGUzTMT0pLuZASf50TzhH4ypW9NPDG+uQxUPrbtChDST573
UOolOlonh7CHcUdTkHIhNKFH+MVqTuzP7JBxLurBQejdl/mpss2+h41r1UZcqxH2azVZXTQ5in0W
wEyEdIR1GapsLD85w2zrsVUvGkzjiVENcPPeT4R7AsQokI6g/lrDPvHThdFhk9/3uZ2JsHWTJI1G
2Mr3KII6P8QiKF1iazFgebctsnZvnBtrDxw4stwRExwBzJY+5Pvp34qissZYwGC7H2TekHfqOelD
7jY8xdZG9jA0/CnPFggOsmIc/INZqfbbwp6ZoQ/x1Fuo0IYZIlY1CVf0Wy7NhFr9YBA1jrHqy0zu
6mX29b2VFNPjuqimu3bBtVQsLAZ2YdtWKPnKlHlqbHZlN1/RDtY/XMJl6zCn3Ad0oswpIiZ2JoP2
urME+lbh3ySd4EMV8Dt3TmrDMRzNUolwsXBFDBFge/6+AJwQqETt9qsxFU2xGyblPwxzU30YksWY
roCjNql467YNYwujOQVmI+hGnS5429adXkRj6vYPtK3Ba00mRHKVJb53Hv9CxIOwuu9+MZQnXJEF
O0CXZRZjP4SyYeDnlojyxS5vsqknUMUq+NE4G7bZweeeh906WMnXthrb5Y0bjNanQlVuHzI+mD5P
9FRLCHBtX5lT1Xy289xtUTiYPbbdMtMbhMEq9cJRDdYStn1pjpGe2nJGytmLPC6MKr1fsK1fQjPH
+A0Fa9GeyFHoQ2kofZeYQ343apqJEdaCPnluUjkwgeuKMbJTN/tUYVbdxpk/Jd+DtU0e9Z7ovagY
TIKMNcspjdhNrXoOh0Uzmldu0Bk6gRhL8YH4CzQXrA4G2c48YYc19z7aCB8JVEU6VTZ+N9QMuEeC
cO3EQSBWmOCjo1RkiiYXV3jV+dcegxY2Qn9YXjV4FRwMnJntSE0M2lFq6sUHrUpR16JafaV5S2eH
XlJ2+aepI2xzwaBlDW0pUwLC/EDJ6VBx8MCCT+2uO+humhXXKp9NceukbDa7KbVtjSqOWOBIMy1v
vNH7Zf42lJpYIm1k4BnhFdEybi7KpkNP1g4ynKeg+9R2WvvOGzox0aeudnW0vVan8Iar/rWTskQX
irL2Blq5GVxpKSRTWSzYCqrUd+6zATb7wWuMyYHY4pu3rLa+2bnBkJNyqc3De1faPCh/Fta9vfTk
ak+Z8YlRGi1aomZCtf0Ed+TQc4vggW1D5RBXl6AO54LigZKfCOQoqOwG1VBd92+3qeZndCbQCvC0
Cw4iSLOa+MZGtrsK/T6+FIk5fm0TkdLD8JK5ZwraDw4c2VdY4Lv5IVmnIdul7IjfGSZ4LbPOdeTU
16d+isvaqb71WBl9rJmcoR4eVsdDVyLLnPhqTO42V0oSWHqkFyzzCjuMpe74/xfKkpfqQ4s4Ckon
3DCwMnlalmjdWlo5BdrR95R+XHwIBJGCdaRfDYzL2R9EVupRthTNHZohtUS0Cul7hAtmfSgmI3Ni
pyl6Ga6CLzI0oZe//v0dvtCoUKFs2YVY/wH/nJWWgYZSKdXpHAQxHeifc2bcyGA8ZOjYu5yg1bDA
fn/JF58JWhtwGBT1SEaePhMrqamEnGE5rnjF3Whz6b5dFbY6v7/KSz0RhRdRCdDaGCmcg2gD+suy
Tjou0/YT1gONTF9VKQbrUdVmPpFHbHckn3md+abuWvvRhT77qHmqEfs+0/AXGpUJI+6/cVc2YSvQ
eWn3oc8//fEDrCnfI5LiyNA3ecM8TlxRQMyvs9yMG+rUu7TzjF1ZrUMWapUYrqe2eedbAh6QZfdf
f97N/+o5LRQ4EBdw/l8e/KYk/0fcffulQvf9EaX1/7lX5Rck19mvuu9f/vQ/M1kj+AvMADQQwizU
5q1I/0enbfh/wTTHdINRMEfv9qr+1WnrfzFAREePuog0Fsi923fzr1Db+guYEdweAq4NvgaQ/ieD
2TM4DBUVPTRDsY0GCGB37uJCukznu5nsDwgy+v2G5UWI8VRYgw1fAATPPsztUgwuN29lRl7bFOXp
2oS8DDkvn/rDmuIcKOel2EkYIhc+gReu4mMaxVMDiWWycQb111mxQlaq5YGTDtsUNXiRYScy/uV9
v/678/t1eMly+LUf3H4Lg3Muw8ycGc35b4ERV/RG2cmD3kMOyvtyRyrwjRDFjY/WF5GKfcl79oUr
0nli0GrwD5jX23//BUnHEqNt/dmUBy1Xy9uKjvSqGbsHA4Ml7DkS6zAUzaU3drZ7ww1AH2BsIy8m
UWj5z4boilq9s8nFO6g5/WzPyY8gt96uehNEoiyufv9Eny3E7Vpg9jbLANn7+baNFkWDSDJh9MXM
ImpBowCVNB8H1ODSRPTZEtkuhccBlj4cnKh6nj7KJXMzv3DM5TARoRb1trTjjAr1wkI0fw7RfgEN
/n58G2jGZ84DPI+Untah1eSkTQfMRzO4PXIt36ZLksJ3Sxx/jfw0qHJwhCyqhq+5loshrBfa0zBt
0mY/Jz+l/7MK4o74axw9p7H5aKIxyiD8JA6NkD4ad4ZYfWunD8aowtZx4OLVWmWDgblURZGWwxiK
EswC/RBHEbXAOtXwj5GcCh9Sz+7LvShz/06jLc7RoZ8IyUneUE9a0abpFyGS9vQjZwbAcNBZKodl
NwaPIg0Kfz9AEINDZ04usezepJJd1akM5munX1lZz7xDDisSLEOXerIzlDOtlEGB4lHgJjTseifr
vzWl0oJw5bfiMSQqqGuIxRTA8+B+y+jsQ8NFfxOaXit+QA3MUzBoaQwY4+m01jnocYSR6AKriUxY
N4JbiXGKq/K0imfbmVGQFf2oxZUR3FlQM+4QcLsfy4CkxDi1muQb1qxNtafE5ORGgFLQJcPcVTyz
waSHRBN73U4ONuDDUr7Phb3cChP63k4vfODAxkY9leVQfZ2NZRfaTm7jPVTakxFTg44TJjXOri66
CcWsl3kRP3w6tnJ1adt8xNsSl919ltfl4zy2wX6iuE1DMHVCTCGUwFTwE9O/WRxaxsjAefxuxWVh
uFkqjyZOoJkMmypvIBbCUX2noxUaQjEiid0NKOBEXorPVLCU+bkNFT2rO3vYD1bevW1HpWRc0ECG
FgiHoJJezT72ijZ/H6TbuEJ6E9ZFgT/hQpwFpr+rtdLHqFhfvNeYr5lHOZh9cbBVxl0CpySI0Onl
tdhOimSH9JmeAEPiYXjtto48rQjev5aFvbj8SCt7O1cTFtPLbA17Y5rNtxLBGZziPOcNVHmGrY7W
GPYHGLqNH45u1ZzG2UyceKpRVEeZq3E+jaR/xTTwbRsGrZdHreunV8s0DHSjsoeAOHdtL6JqxjKe
z6L23gS5uzj7LNAzxtylke0CYbU75lEiualxawIe80gDvalVVd4ofGFrujcbSAosyt4YI1gFVC6L
/2qqMKeInMQ3j+2SuF8LNfuP40KAKo1vKhVExlrsB5ZRsSvwd0jiXvJXhaIXHcCRk8JhBTjSQriL
uSTksYSYoVfQWGJiq/JImoQb5ViBUUNm7V3rN121t43eW8Jy0patWl9z56qYJw2QlFCL2DPlWP19
zv1RCXfKvvWNbB6Hp047P91z/mPD8z/NomfTkMMOA8i9zMJ7sdT7/3/+n0rPtP+C9ALJjpEnUh6T
A+7fSi/4C9IDdjwM33AD2EqSfyo94y+0tB78u83rgVH8xov7T50Hm8ylhiF8CjefLXb4X8OifwoU
vI7+S/LK0+MVNgJVJKUKdluQL3CqPSuLUglFb06c8TAthhmjW8NTYpAAdqSoRr88oxdqo7PW6O9r
2SbqDsw1STg5txVA2WMaQnbDIWWqfLKNBZvCLpW0o4OeH4Ny6na+AZ3YShh4t2ZdH+u89L7A5PZC
3GzhD//+hp6e93/fD5YaNuQnNPsMQZ+e903RWbPTVf2hhnT5AGXDDPtgKC5MWJ8WS39fBQtRqnKK
l42E+fQqujSSdQ6EPBQqLeIuBQyKZtciTHEoauIbLa/+9Pvf9cI75UzZUnSo34lxooP4tSRck8xL
JWjWwYcofFc1TrlfLFk8lP1qXqh3nz9CEPytu2Fgvo2IzqbmbuNP7DpjfWhytOqhu2rOW2nq87s/
/UU4A+DtwIgaxwxkpE9/EQw8azQxVDg0g2sDCrtyl2HPQnmWu7vfX+rZ68KHh1+CCG4z5sHO6OxS
SMftQjbrAUirC9MWXKLIrSImV7h/FYzNw+8v9/QB4kJNyQ6jUqeMxhMMtdXTywXLPBgrlkOHXAYi
8jSrCQuFr+Pvr7L9LU8qTqTLKNAoesjAAG85axLoRaxKgiMf2AbEo5dZ1RRqZie6aM1spwgtzlDM
YRIzeAPB3r7kUf388pvunLfHNghj+NzhYZSJasa5nA72CstXt8Z2N6T1eqNjlni90HyKiMLG+WBM
2SX6zfPnu12afo82kprUPNvfBqqgfJXZdNCDyQOfU8vBzK1L+MrTL257i1zl50SW7pINndPj1y8u
LdIeNG+cDllvuOEKMne0uhahggSi/P2rfOlSxPdso18fxve5SNnw/x9759HcNpPu++9y9jiFHLYA
SYmULcuyJYcNSk5AIwON0MCnvz9o7qlrkSyyfNdn8c68M65yEx2f8A9lA22S5MFsLMQElIIi4BNA
0hRxd5eHOjFbWD8LWTj2JRkfR+8oz2tjJGx14Cj7RJ/7nTnlxs08tt42K2SNf59Qt9Ap8k22KHsH
hsveNQl+DGZlzXk0peQvYzaatB7cxN/qRWfejuPUPBre4Ly0YEeeM2q1YUYqfkPG0/3Uk/6aEOyK
VD/a+aB5INCC3WF9Tqxr+07Ps2kW874A00cfyI9bO9KzGnkjHmUxhYJU8FOWUerYFfpcvmTeBKoE
TpN8gfwadJHnT8ttm3pUxl2vs8DjjNREL8/0uV1KGr2WDByu7OOJtnpBz8O0xr1vt/kBMRtxqw2V
98+FFrqqAO5Aq4CvJuR4u0tnAA4xPNRxrzUJ0nt1x1oV/afLn/Jaun171zDKiqZ+dcs60eLx8mCq
/JpRUi9dyFw1CRGq9Iv+PSykQeAIbvXdhvZI/MROgQPI/zYeaFzO9Ok7nebi7LpVsym8RJM7mDFB
jYbm2vGKCziX4RSY4gOM+eBrQJ/gcRn7jN5lPrR3gxO7/Rbl7v7jTB/syoedWyOKa1hZUXpb8Qhv
Z2/RBA/DOnuctOkxNVz5m5xXXFmjV2L+0fStwB0Ir9yYVGqPrupFtrmb1u20R8wx1eA6TsT/cMeK
G0Rd0QkyjLjmz5KE5k9hQbzJsW6KyM+mHJsTWEJRay/zT33Whp+p8EQXep5c3vlOB/zAtORQhEhM
mc3m8rKfmR1k0wimiJKITo9VI4ysVR6ivtM+jit6jq7e3hXN1G0vj3IMtVovWiJWaibguXGQOH7I
kiwQgIiE2lOdLGU4D1aKZOSoz+8AjiKbqk1aYUSuM5j6Ri4+2Aur1K291+ngwLyyyq9ZCZ77bo7S
qgfAtiBCebsr8jg2lznO1R6fqf6O9hipZNn9o047X01xdAV1ecBgoJC/HQQjwGSaMr66QG1rh/9c
uW013pjLk3v6SpMNEIxw1wOF5YvejhKDyQTGNy97ZwxK/EXjRH8AB+BlodcZsbMVaKjfDg7yzz7O
iL8uD35yT1NLRP+IUjhe6tSbj+Iguxwtlfs2MnXVCHHWL+J8K2bTPsR9Jt5fHst/G+PxXDPY2gsh
IXM9KpjHi1bFY+kllrfPWr/5I1rTrm7g8mkzakHrRiGdLm87Ly/ptWetUx5Kk64fKF0jfx7mprhV
lTX0od/hOxHSTeofyz5pm02bOPm3FFFhhBrGpnmSOBC9IyahM5y3MX8bJbk6i3qnwVdJoGYaoZrU
PI2xyPdDV3NW2zJPH0XTBQompSzg0UNZx79oqMzPFVZcdLflYsSbOa9yPyosMwZKkajpZ504yXcx
WMm3Efdef2M6WvmrH5YEEqpvqrsiKIovVupAE50SITWkNxGb2ojeSYKtRnBzL1RTIXYEYuR3oFrQ
Plm7mFXoplJH3NnRbHHvWF2MunSgNdTNJjmFdVDr1vtFOPnvtJnq32naU5AUFpTytOR2ukG/OLUi
DyoPrQPdwT88axQVocBu+pvcIDBbxeyKfVkKAbxBH01qS0vi3cPPlt+KeamnDdRz9xcqzwrpJq6g
2yF2afkqxI5/xVCwKQiJYH7fgQn5YRuTpcJReYQdl/fMeu2+uZbZMmuOY9OyBOplHWUg5TBMaUZH
eK/1+pNllzbF2PEGeYaUZym3gRZ2V16Ck+PIiDw1AFvYqMjHHp0IB8lC3rbW3Ru+GPfVsmDX2Bb6
cBB6K+6QphpFpGsJYqBJ5/4jbW09ITi+ArJd6XkWR+TtXSDsqStmZSz7gpLfVjQCgboy/nl5Ts8c
Q5esAM7M60N3jIznHe1TPMf1vVanXgTNXYqwbcz+nZ2n7YNe5u6VG+7ksuar7HVS6WqZK/Px7Vcp
2meNn476Pg6W6t6OKWFCeTWvLNzZURDDpLO96ie+4vP+6shMaR6UVEf1vT/m44OqA/1pnpJr4jfn
RoGrQU8EedbTcAQTw7RGoN3YpxZco0yvFor3i7iy7cnkTza+QU8E1DXXMt3HYxAmPe7J650eweOO
UgDK5v34uFSNC0FtHIv5dgDv0UYNXuXVtpGZFW8sIDq/BwVWicaDUi3YdrZSCFFZBKsigkKqgA4m
iOzBxm9tyav+qzfNrh7pmF3SG4diXUWmSvogzKdi8TaQQ9VLMGmmB6BGj59Xm1zUYPVlGHdZCi75
A2IQKzAqrbV2U6XBfNsXJqC0ISmNb/QSgxrmd4xKgTRVjSKAWTQz9+bc8v9nHVzu1I2nbheMuf8V
Yo7+qa9hIkQYWFjmRniLm0SQmRNk4osUofXeMqcu0nusefPBDp40zdUQ5XNHLUYlNe/ftUPi4IA0
iPxlrFOjjTS2ZBxZC6KxkSgLUDUVTTsXtErZPdWUllXYJTLoUV438g/g37JPoAC0Txq2OnZoUkCY
blwxWT7kbczMo7zk5ggtfyKflf3kERy3k7mA8VT1U5t7cj64bc5MN3VpbJZKlBUQMhNoZeXp9hz1
RS6Hzdh2+PQkme99l2NnolrQ4N4QajYEiw9eC1jPtBLQc/jPB8utWdTICABXQVh+mSDwz6XG26hi
1LkQijCRmEqtyf/a9rPIwkK5y6PonPajUDaVbYHdch0tcObLDzKFPArXsjaL0ECExwL2ObjfknhS
6W0b93q9se3Jfiz6tPheFl7/Ai1KgFLprLm4MWh/PAOYbPON0dvDsvNSw9fCJqe4iKy0pcnQ0bzM
QFvfkRlta6P+qBbbF+HoLNlzZ3T5RFfIB3xpq3kGSiqD+rnVRqDNc+YHKchRJALDtkqTD1m/LMh2
mlrxIp25iN8jKeGlWy+f/GzjaV35ISiCAEHa2Vi+zGmZ/plHg8IRzozmtOEx7Q+g0dwvI1RME4mb
3v9WteP8JY0z++viatlnw6udJuSMDEZEn90AMJ4CU7uxJk98bVLpIYkpae6EFRps+YbHFyreXGsJ
SuAwOPMby+qg28fUV0pmaFUQ7VLBO7qY0JyiOPUCuQsKDCng3CeOCIulyUC6QQr3wr61/Xk3FtP0
E9Wd8hN+Cd6nmIF+AltlgnLATfFOmwJD2zlNsholeMHwNV4qKaJ4nOvnHITaR+QANXPTgTK5E61b
lJuYZnu2sc20BAZb1bxUwCURcXAbv4+4fBM4ZinqRbhNyC+qcmYE5SqZbuam9JHm0O2s3Qq9IQAa
xzFnWdvZ6LZFoNnZjtcZMUiRJ3F2U601yV92q/QvsNdSPi7N1bcGF72nUus4tii6dQj2GUW9c8ah
2BVJx2EZQG37UQtD4b2Lfg3hJnjaMNe1VIU4pDVYLOAk5N/QnnHeERmiyjQuxUcdlQegXt1k0m1U
nLs9mjOJiIJslAXYYAprUYAx4boCk2e+y4epHEJpBUruq2KwOBWlQeNTOhmgJ0WrzaOLU2sgI0cf
HK4TQN+IYtNRzzFS6G44+ohF7NHv0NVHWn3JvZvaLX1D3ET60Kkqyicuch0CAS2gbcDNLGXu/KBy
Hg2EgvN9MegCoF5ljk+Q1LsmigPZPZZmJe9FrdFwTdHI+daXCkF2RFWy+3LoiPmyHEu8KKkNjCs0
r/Hbm3jI4nIziKSTB3/y/IWdMzsaPIq4cZCoNVJ3402++9zRK63DEXXsdGci0UfbNs/G77Ns0cS0
eTa8qEjNOI5ylD9GQHyptktsHSUK3azScjs7KoAoYmrGfEDcDeeKqsHQdFe2QGejkfRDp0pQWr+H
0srKMOCDggggnvkswMxU22my6Z1bRlZ9nG00P2+GNkVhOSO42zfgXIeNEovj0PsbTBVmCtMQFz3x
IaqL3mDdBlwR+MkjiSJGq72KkNpqf9EnrB5UaQk8lApV7bXcrJKNKF22g02jnMfADDI7BFCLRhe+
KwYQyBWaESlEOebI4OiAeZ96SFzenMOqbWqvpDsOXHaB6Fn4wA2TwQ22djsF7xuAYeZ7/JhbYM75
nH8Vzmh+MQvLIdhVEjmVosZ+eqMCFyB0Iouk304Zm3gDozf7uNYIU/SBummIwNaadQjWE68ycpt0
h+opwlqmP2q3aLQM/s2ieasaDipf4raD4ORuYs03Xxyzoec+GNXwh8om/gc273oIiGV6IODNii06
xA3bz7ZXd0zBLcgz03stCkPJ0O5cDGLwNiVmeJrayhjv0nasf4D640KuS7ga5diPK5K3m++BIaY9
BUMsUsKAO6TggLTqd6L35QPxvMyII4T3NDVd+rkxEdDCcSaWbCTby39PuWX9GBEY+5WOi/7ORc08
u029PitCyGvdo9QHG9CClowHcjSFyAtlvD8JkPHfPvUAHd2pykcOVk4Gh9pQ1ccYlsITicDyc0FB
6VdTLLLbpp2efUFY0C82vq2cn4mzEgoGmVbpB9FUEE18bn+si+cM5nKzmKV10win/6CyOTBuKFFX
VpShnt1wboW9RDbhTQWLN+sq9Gqz2bsZFS5/G7sdlnTb9T3lU69qygcweQ7IYqRjyPrbgVzJ9VUc
IfuD9kqNZEUEfqH8E4+Dzm0CwaTj/Nbar87ujWeqTHN1G9e2C5Uxjltz22GR814B1vBuB8gjP31t
REF5CBRFTX2J6xKcQ2B+KF0kgUIUu7XvPPOpSXO5ETdtZWl7gxPqRCal4+lRWZlmb5qhGRSK+L38
lCbKeMg0fXR4KTSv2nlirJ4730YBBhaZuPP9EvpHwR1ahsquG8D6vV+n+ywvjXdFDlIgtCYlbs3K
r9C4bozOiBIqb/du36WQQ/sGqP+CvABFAq9Zvkldsz5D14b9MIzL8qyLwceJI637NgqQsfuqCKTe
E9yga1gX/vBnQaYL41/yZ4/acyA/WoUx5tvBxlY7pGbkLlCIIOzcLq/YiHqFSUxcSN/yCceqneTa
7kOxwirQfwRh4byiLURs8nDn4Czu9BWOIeqhKej19/5d+4rXKF6xGwlAB0qYK6QjXcEdkh7+Dpl9
7p9X7AcKMdO7Wa8AhHhUYSDFQG16xYtkkzMam0QuFnI9r5gS7z/4EuKB78sKOtFW+aitSICi9Cso
xYA04rAjevAqTtUBPTD+g2Op226KnKJcXdGoubCNbT7ygMCa94j62Io9Mvu0juIpNtzvnJ/M3hlU
HLhGsUb8geba8JAQOXbhhCiazVU+BV/6GZXeyC2b5oOkSQCqGivBp26CH7AlFDeAFGuuerY04Kk7
peVqQcwpaaZbY3X03MReX3yusmwkTg1yw9qBh0CCqyI4yrmP89nZctMUdDzavP+RtDPRldtZ5iPl
XtDp0hW6jAYA7H0ELlwiYCVlHd9ix+O/8Kz3KX5LvpYdIClWVE7xTsC9aqAeHXlBk8WRJ5Le2vlC
i3/2FnHO1nehcQWK1lIEUFJ7QSUreJdPcvyQFH71klqj+7mW0vyIYChAf1dW88uArb3YWPBFrJ2p
rPpz7dXVhx6bFm1r1479C8CQoYVcfxpa9FmX3Rl5C74IsTOM+UaXbCMKgjEzQHmY3PLSRVk7SoSt
taEsBuFtUHKCpDsPSGGHcrLiJgoQOoS2q2fNofaL4KHJCurhHuyYT73wx2so6tM6HbJ5VF9hL9NN
Ayz2NoU2g2RC1T919iAZzC3mJagC8kaEWA5fK/aeZrjIoXCNIasBxRS11bdDeaVuaFNlOvtOLSyC
GqFfNRy4y0WItXb6trCDrPJq+kG/HErJsQkzTUMjMfvF37eD6r4Dgzcd+FBOvmz1IM8QobDL4mlp
m9bexJAts9vJyOzHy7/h9EtXbWMKPVR5sFk6rhjgr8KV17X+fi5JFQZRiucin68p9J4dBXSqhaI2
/wRHS1cNrWyaePL3g+EPz+2Y4nemCfV8+VtenXKOJxSBceAukHNAkh8tmzlRTczjOdgHHWl7ZFZu
qUfUmMaffe0HP7o5a78KAfkt9Gm0EzZas/8bRaH8u0Aa4NtA1kaAPqvyHdZr/Y+KRzTbeUm5GBvc
592Po9Kg79myu1KNOrMRIHCzC5DAIPk5rvBNZOU+RVp/D9a2+eVVA+Zlse6gMl9DEZ4iwkivDrnl
EN/QA3Qbb+a6T35fnr0zawTn0nbAEDvglI+PV45bC6ouyt+7Llm+R6V+5yZTtrk8yukhXtEuiB5B
WqYpfiJKBedHz2MZECMS4xl6pu9Vkpu3oCz7K53N07qpCV/f8MCmGyDdj4kHa50dsxN2g2Nn5Y1P
GyNcmkA/iE6vsGx09N+WuHqmz8yiDdLbIuK30Yg6lsOqm6LWiR7i/SprGDV6UUb6MDXby7N4Wr4E
ZY8/BC69qwnyMXwo7auxN6w43qez39yjUZ7/pE8HcG8sp7s2SNSVDXpmKpEugbtCqwkO5quSw191
xWZSse3wQO37BA8YTa+LLZXx7LMukmUTGJ15V09jt1xZwHNzCXzNQqSY8h+wmLe3sI4cYxpPWUwC
SyXY9yf9JjCXYHd5Ls+OQnURjTQPltGxwP4cmLNtzzLeW0vxkxxswrDW/+f+N31Jh12IjxXUCbou
bz+l1Gnp0OHS9iMtkZXGrO0KfOWudJfOHC7q9ZhZ0c9HeerYozptSwA0XartlW2iEWs65a50l+LW
Waoflyft3Ib4a6Rj8JXutEmTxIwUNFaxoUpZ3SX0WPpwqP1y5w0oMIRFrMkr+/60Isw0suMJBwET
GMdVdHB5iHgZTCM2GPGPCn72D3uFnwIRt79MQ9cu0ei57aFDgvLKNjkztz6Ve/wDVxAToKm3K0gH
xlYDRhF7m4L3g2XA6zMIiTaDxHjk8uSe2ZGIHxC2rPBI3rH1p/x12hZhLW4JM3wvVBfvCsiNG6nc
f26bE0aBrCEAAfCJ49jRKALxeEMqW9trVeNshJ4tG90d1O3lbzkzbehroVAC8gNaj300Sq/lQHBm
kRxiS4JNzu1gi1KJ9a4ulP1weajTV5SXE2UKAgyM9ILjFYoRMXXKOAj4IAsmK4pyWBW61vvZ8vcJ
aKGPSD7K0NLIkUK0Z7rN5eFP7mR6EOvepGMOyOoVUvv3qunaBIEcb6093qjpxvHidrf4vX1vz/UY
9box31we7+QsMB5LuEJaiR04DG93ieHIErWijtuRetrecBob0mwttpnCw8nFQPV9ZRYjZPLe3F4e
+WRN15FXxC5CBEAhjt/wLCg1iZZtvC+yOo+Qtps/oKKRwcCZx2+Xhzq5Z9ahViUQ6Co4PBxTjCSh
yoQbcbyPnXn+mhdeuRs7t92V6HLcoANfRgjSaNWVh+fc1BKi8H5D/QEVdfTwdDky4r7idksMpIoD
rrUsVXfGMPy0arl1M85+7tb5lVHPTCs8SfIBNChNi6rg2wWFPVJo1O+1fev1xrbH0XIjC09RkYQ2
e3lazw7FZUV7je+jB/p2qCkz+7nBc2jvIRa0zWPkv+aRQuyEuO6VY7H+6jcxuQekiMcIjVAOBjf3
26FcSnwonw3a3mzHZpeOw7y1Fr26chjOjUKvmE4hIoir1tnbUTRKBxXHhBWbzGxTaT2iHlNQX5m2
M/tipQpSuQJDToB3NIqxNAsOUkl20Ee4LjkEmEM2KPPOQt94LezjmqCM6RGBvfbKOThdMKxw2Rw+
I6/kzaO94VoleGo1ZgdqgfaBrizYYMm9S18nRmTl8u5YP+PtknHYCPTAzK4h3zEw3yW71wkl8sOC
1+EPg/5cEA7K7e+UYbhaSL0fzcyiyuG4LLlUqEgT+vhX5vp4RQPErHgxrFUklez4OCyz8iafFfZe
yDW0/T08w/F9XGfelU89OwpvIJfoCmk9JoMvCFJojUGLudSUuG9rjOeLHsX4f5tQvoXqNwbHjmu/
6i2/3Z2gEheaQ0NyGOwFTBNSFCDmuEL9DSLmxR53K6TY8rbZoQFjqB2GNtfOx/GSrr9gZRqYHkEo
j5P59hdIsvx+KbPkgPvO+D0bGv+bNWIrHWa+zI0VY9N2ty6lawP58opKMRwMpHUuT8PxJn79ET7j
A9Dkv44B0ZafArQ3Y1w6MEynOQUMKQlRKBxTyA+BuCIZfPx0rKMRaWP3jGQ02/jofZR5tgRq0ZMD
oNlqlxN/+JEtYvEt6TWz3rTSSL7NdWD8I9BjHRa0DnhawHKQ8Ncw4a/grUHqtSziODnIgJvIMRd5
61dT9vQ6lf9LgvqvVxIUFKO/ttYJ2f3TahC+cpzOM95XGtTr3/D/aFDAiCgEoL1ArW3Nlv8vDcqE
1k6biEz6VT53ZRP/D+Hd/G80YU048itfiP3j8mf/w4Ny/5vKIG01UgEbIVH+9F94UP9Jn99cuBxJ
wijyC/IaMpuj2z2r3LnPyRAPaawtbYgIvnbnmN0CnLR2sveuTbc7lI1S6Z2NhUxJk9PPqVabtlru
phJmQWR6i5WHvRZU2mEGgNSGRkm9dk/fzl22fpu1P6bYydLdNIlJ4aRitod2TsYvmqlSb+MYFS1i
ABYGHWmnLH6mSuu/KhppL8LrF9peVtOtuiQWOlKFFgR3Ob4H/abvEawOq3JCEMuwB+AsZVs41SFz
7LLlP2nlhIzYPDqNclvK3qrXbusuR1+JVrC/S3UkK27cWJaABZug+6yZhnIjsKZLDGwni60NpbH5
t4FYzAqvsbgzPWV4ZajBgH/pKJL5ERX17F4f5tpCjDG3W7RwBD045Wo0kb1KJi6BTdaMEeW35aOI
KcdH0H9RVppbbbm3mkL/7WjS+2KNnvE4lGJwNs3UY5zhSoRJ9z3ajrBHzSG70RPD+BoTGghwO7Pt
hwGqT589mJc5ZMdBfyxUqw0Rmk+uvO2QiazCuUGpcDPOmmr2ORo/8k6VCgxRTQZt06r144+gUZYy
6oZYo/woESHdKDdzENZztB6r9dRL3gFBUocZ44uNh7oWBuVQY5HFqvEcyszRcWmk8CBHgrYZMkev
pfr+tWw/Las2Uv9azu+5u4DrvJb5adAgGZVDmkMO5rUVYJMD3oEVoEFQ48Ohhc7aNxheWwjN2k2w
1r5C1U5G9di6tsJkCUUyz+xgjFoom4mbGXcYHI8XmgfhAsSKbKuyvd9yAr4cVubSJB+asls+sLMb
GWEnNIy0uvGTD00DYnU0mDGoqlpqzd7zFI8ibZv4SacJFVkdDit0nyYsiFLb55MERrf4L95Jz5m8
yGs753MF+/x7C90540+bmlmyNPOD46QZzGRkxAC5VoXEC8Sa4j8oMKBzqmrJRKdsN/7dM6uPY2U3
T71UdAfRGhD0NY2+g1JeyuRHmufd+8Duhm7rWhlsibESClYGOtG3c7fMXmiPQadHTQ7Jm+QdW+y8
xFUqpq2NjScSge5qXenBkI5x4NvVmlHMTLbm9hsDa94anHg/PI1inL9nDT+ClrvnkreCkdG8Mr8f
LUOrkaiBRRG2tTXRj3OXBRpMNnQ3UsgpfU9bbXWLqYyVh52OQKjywo9/JUoTY6RQKJRYYllIC8zT
HPwRTVJqOCj6+FS5ft9xCbTu2Dq7RDdX2W1KnZ+nqh6syKF7GGCLElDRrLo4eygC5cswc3X5cekU
EDNpx8iNIouomdt8otsY/XXHP/znPvxb4OI4fKDQ6ROT4v4AwMwgcXn7siZ9P9b4F8T70UnYor4m
7iFW13tftM4V4uSZTgJjrXrUtJsImcyjao/mZ5PXakG891bTrViZucJdR/U/EBJAV1Us/bvEbIcH
PVXWPYV984FWZ/6CVz2L0c/WPhjL8aYsdfkoAVsfikTpyCc4ogxtFvpLgNbnleLfcYi3Tg81MZhG
PCCnlfWisXXEF6W2d3IMvJSXtzvEFvudmutupxXNsA/SMrm1BVinfFgeLy/OsYE9sF1owYxNhw6Z
Zeowb1enyqt2wac2OSDEWMiI9dc24IgQ+2nq7t4aqnabxoVY6VZ4JyccOpl3e1Fb9X0g2+oFlRRM
2pZCebf/+svIQLnL0NBBRwfjxHXi/orI1CSRG0PH6zBqeDWm3NgfitZw93Mt8/sFHcwbTdBIiJbC
WJKws1tw6niQb8apnxH444kYMJkV1grLw5T98q872dQeTdo1wVndAizXXKPYv34c/Qi3m4FmHiyv
UBFGT+pp6EYUhmfN3F8e6pRTRxEF6t5qz0l9gR7Z27Fibe5LofLqgG8BShjs6eJRDewTToBKH+om
d1Dxc4vivRpkVW6lUt7PXO/6+Ub2veEccBdOnVtDNu3nYUjM30Y7LndDsCxT1PqYeYGZsOFNgR74
1tcaOEArEwPSZB1KbVcug/W3vgmZyGXAOK+qUj6iQ8c10rRL4q6btPxQsUCrsaKx77gdriShp6vD
KISAlkmhFPbV0YwBS+tq08+Kg42D0FNeiXiLrfuwpV1wLUc8rS2saGpqFCCeCQGh1r/ZCLIp/CZJ
huLg1I1+yKrMvmkKiNQJDzjSf0Kg+4s3GrSRfy6dMDDtD9Ik7DYIeY8GLkwZ635ZHMxMG7aGTKew
Keb4Co/o3Eyiub6C+tl5qOm8HcUb0VVtq7E4zDNu41ZZA1q2lvZr7OPoe3mfn9sagMWJnDjr/9FT
+PtI6cPa8TYZKg7QCF98ML6+n/+6PMhptZcbBbo2kJFVSOG4o+2jdNF1/sJy8bw+TED6lg0FfRXN
eQ47Am0Mx76yGc99Fy8JLSS6O9Acj3eINFw5T0VxKKmLfJuGYrnzsunaPjz3YfQ32OsIgfFyHW35
tBFGW1eiODSj7u0aQZ4RzLhfBhI8kD3m+uafJ5I9QVqGAhft0mOQ/9z5jV+KtDwIoatoWYpnCTEj
RHxnHxjZn8uDnTlktGV19jqvAaXro5qAM7hDj/chW8PflJ6q8XMuPpkp4UQDn2kLEhbdT/RoL496
ZuGAyoMmweQAdot9tHBzkPRVnjUFPqql/7UZ4/mWXamuVa3PHDFiI+ivlLMofHhHH9caMsuFvpQH
K3f0PZgvb5dWVk6AvNhXbt/Xv+vo+qWkb73SmuntrMnx32dsWeIU1Z24ObQjeJWwVKnbI2mbKUCp
tucCz4JC8BmbafkAUqF7gTFpQnvwfHTn9TjpBnBeYv5hJMn0AvFw/lTlmGOFyM2mnzIAvMk2B8px
Cz45BizdrXqkFozLbuPntvzpOwuOztw1xBjLUPh26I9x+RmrxhzguzRTJ1Tw1wuUWHMbxk2XJmGK
cjNYst5oqw2t+fyzUS5Eux3KvQaBmqyD0IfxuoGs7wNDLmPv2Zh8vwYxJxt7Ix34MNECs3zeOckE
EVbIzJy2WCboH/UqqESIBn39LpaaLCNMZRD31ERemGGOPWVyqKs+8RA4rYYPRkYxLiKJNAnZkwS6
3dpKJ93PPsY2dc+dTh2jDqGImF3oOjECmlDScAtzYIqTMvdBnW1iBwVVI2i7+g5xlfpK/Htmx+Iz
DVObW8CmLLputb+iktiXYESrrDo4gGO+QlhQHy2VBtvL58I8CVkp07AdoJ2DZaOxe7SLDE6Cj6N7
dZgDouWhbN3lNo/1Tu5M3PrghOjd+A3xe9gAaJFhgYpqGUklqYnMDhQaSOnFjAvmptOHBiC0Zyhk
l6Rm/DSMFh+R2h2t343v1O2G7Cd59HFEa2E0xmRdFVoh74JF4lqbNOUPDcE6Z9+y3fpv/agDCm4L
ytqEgw7GCpe/+8xBpZMF33V9C2nCHAWk5Qi233fs6qBpufa14CSNkTvpxnZ2NUddmeRzg1HDwu+D
f+ihHd3nGcYYs0GL8NCl9XDbqyzZCs9qdrBwrpnYn1KkoSNTNWM1qabziBxddJ4Ei00NpTyYFhLb
NSClG+RT5Htw50YKxLda9oTpNSjvqfgC2xZzEaMwp52esopXLt3Td4xmMPniaxWPv/Vokr0syGAv
cukuxNN91BSFvpmpX4U5zE0HpTPjGjjhdKZ5yIjjCeEICng83x4aUPxtl89ugWiyMCItoeiAWndH
Y8g0ruyg03dshWqhTciE070/wUFMPu7A9lweDDSENub8vmqqyB/hRsQrYpsbrAzxe4r/P+aUL1sl
HNi/RKlvv7CQ4H0Kyy0PiUAMLh39jXALOzJa+8vIi3YlMji9hED+kLm9EqUhax6tYLUijCrhlweC
onRTSovqJ/WLK1N5ZtXWBwwu9krLBHL59puWDszrUANhxeo64/HX65tsRDYP8HJ7ZagzH4TU1Qqf
ojtAPnEUaQ+w0ApTG5rDWCr0bxHwv41z7ZoLw5mND32Xpisyrg73y9Eo/pwYEKbL5iCbHRKMTFqV
TdDNsHPCY/7yTXbmi1zd4l5l8pjC47FUKnFIH8fmkNCm32ECDLZ8LuZPl0d5lS59G22sXF24yMwb
seJx4jpZhBBx5jJxM6kxWUyOIJ9RSEz86jSC4a2eTd+rb1BocH8s6OjvqJVo9zVmCRv8Sqptb7v5
8+UfdWbfoCrES4yaJpIF7lFCI712qFzqmIcOW+mdolUQOthgbmRS/zNCjRcSyLMOaJJ+rHnsWGZl
ejL4mLAf0mxaXWPafpO147WY7swHcaiJ+8mpqeMcF3AWqszV0pnNYekRRSqT1v+E9kBwg8Km+8/J
IO+9sTJ6+TKEyY5uyhFrNwz2mvagOSwiQVsQlZRto9mY5+3lZVqX4WjrrEB7BI1frRhP5G0oIw7Z
WLcHG5IDWjr9/ELXzv7T9Kv9scP5+zJb7XANKXDmYJB60u9FXote4PFRV0qMmQWY44DOT4a21gRg
XdOulSfOjRJA9KZRBdgPiOHbu6soZurNfdAcRDbqH1JtMf1Qmym/XJnEMw873HXkAGiDrffXahT8
dzxYy9JvAToMh8AXw0+wa/IzBjm1S5k9R0ehMJsGYgohFagIfZSPsxY41Q3hNAbhgdflL5cX9fT5
Q2yBdwiJc/J7kBFvf87kK0gLcz0cpAyKg1+P8VaT2bwt47lrITF64lvT+RNkviG1gyu3+Ok5WSNi
QLdrGYNC69FcdFTJZakQQ3CCsd3prjuEQJ5l1C6wwy5/5+n6MhRIMjwTAio0x3gTaboD6Cd3OLi0
MHajZapd7WnXYLZnP4j2I6pMiDBS7no7myDm6fA1kNQKYyrfa97C7Sonx/q82Jq49qif1olJhZEn
AJqCJyXS20fP02g56KDCUz6M8FbyzYSZFHR1bFnvAuGIL6nXzTQRB4zQET1Jc4REl9p5hlZuPbbS
LSDQl72Op/to7eeiTB4uz/jJzwt4OIG+rMpdxDg8928nw/UL3091vz0kuOGS0lpe2YZi1t2dM4/L
y/+h7syWo0iydf0qZX0fspiHi91mJ3KSEgQqZrgJEyBinud4+vN5pkQph1IWnWxrbVkZ1jSQnuHh
vnz5Wv+QRIPyxULnp5Mv4R/pL6TRoq2UN074o4Ml5BZNP1561RiewIRS52Hkx5FMfDP0cVgRnIAQ
AfYWfVEYEcRLlAB1rXRw1ukSbVrw+6+Wn/hLRK5QzYSAZrxXplQPkfoNux9TYcNU7atMrV18Ksbi
EpqH9g2mSWIsalh/7yem/6bybUXFebShodRbSecvUXZy3kZUdu1FCSgMXrqTyoPrmGObXFdxFawT
wmr8JksQ6HDLcZTfow0wpK5RWvZV2nJhfaWExfhjakb9G8CwLp8lqR11ru97Q3RVaYmBrLshRfKC
9k1VY6qlxckiCMwC8hwCJ1iNSD70ZKQyAMbEWi7uoQigNFpADUEqUko4LLRmcLOBE38myZj1wDf2
OmuWJQ2+NRXU6/UgDzLVHVSvv0Splb0f6rwswCzK8LQQ1jGzJT2S0ZjVRj8mrl9OLQnFqGKz1kaN
oSxyXMJDZJ5q+K9G3/jdIgJnjNALrtcIFeEg7s1pD8mB0AFr/3RgmaJCgwbUZ6mpwh+aRvv0LvN1
qg4J1yB40dIoYRroefEPZXKqFx3UKSj0gaiI+nh0axR7g+6t0ms17dMi0N+NHkTtmVk1wWWHi1AN
+VSDSJYEjVCSyFGlmAMWrGCsjQXSA3B59T9lHPhQCaKP3r20ikB7P3gOLzdPbTR+OfvR7YpSM6dP
OtI4d2lMGp/KceNwFracxHB2u096rRXf1RISOu1r3blCni78XqJ5Bqs3TdKv6C50zFZWZoL2nMWv
Iigr2hrWKEZMcTs2X57enPthnx2AGAjJJpcrQPT71nNYpTg+LjntGrLZuI5jlGFo0Cvvy6mRrxAL
yG/Kigsw/WHNWz499H5STStQ2B+QtgtAHCfPblhotXSoOgL+uo1q753ZQeZukglNQjlpltD9zMun
x9uPyWI8xPgIQXQdwBuK7/OoAENVZqp04vGa1EK61EYVbCYiA8tBqb8/PdKxJ0Ne0dBEb4gi1l5Y
GUsEdqgX9uuosfIFAnCd64RDviyUvPiog0xYPD3eYYQVjyZMSnidXB32Hw1XGESWMqtHXivwZ4Hm
1C+stNZhDuCWbWMt/JmlY7xIJwsN9hHrHqzT+tVEwFxHKsCPEUzBSxQd8hNfbD9TZMrJKaAlCey9
oO/sTjmCdS19blAWiYUb26RrE8ZMTf4qKFIU+c2oe4u8SnQirB8ManJHszAN5D/qnPuY397IJB0X
pBFoh1/lc7ltAY0Vhp0j7x1r6TuqWNxwwM82J1KogwUmBhaoXPgo5KjWXhZjBWGISkAwruu+8HPX
znRz5imxNq9DXf789Cs/NpboLlG35AmhT+zNrJF4EWibca0ia7AqggE7NbWQks8oRXSrp8c6iBE8
ly20o5hNetH7TZJC7scMe9OJuxICXTPdbNDE6aAOFZwwRt/N4wiBHTeWEuQuiCPxr17yYZrRPCGL
MgTwkJW++7BTgt1ZV9jqWs/78aPRF/08MrT8avOYv4T/+78mby7WGUy8R+/zANj3KucUOwrq+/mP
HzB91gWTyw0AtU/CscU6eMD0aRfAkCnCUcGGNiZ4jPeYPgObGi5k5E5A+kCKs+bvEX3yBT14rlC0
evkVpDo12T0l86eUzbfb569kjRACpYaHFQh7tKvYaLurAMvX1J+UUrtK0N96P0he+l2txhZlgsaP
33eUFZaU/pEQMBsVhb441yzOfcVce3qs1a6Fkg0l6kHnn42eFM+NClyc2yex9rorkPlyyeWMBJnC
tilmVASS61HWza9AUrXXYUcu43oGSkKrJLfDT2jBmK/a0Es+ywN983kO+shbhoDd7pQAgzdXacfx
dTK2WBfo+Vi/qx0le12mU/9VakgpXX7vFJeFB2+XVGioGoC0pEpUy6y8QojF1i8rX45A4hVK9caI
y+m7lltqcZk1Svxn53VVu9ISr8aSQsrN5KYONXp9IRJ+xgJDPxNXjhDjCQMRD/ByVYpegJRGiFxI
kOSUNbqjhUt1zpxcG7zv+6FH+RufZyO/6UypX3JSNR7ww7GrkOsohmo+1AIhFhlIJcwwr1PfFUZa
3YRoBxsuXZX821ihLHBpF6n5yqoNZKU0oyd7Vz8xtT3IunAxJbqENaMZqNc1qhfhbDKTDIVNlArn
cW1kL8og4V+06CrOsiyJXsTUMr6Bv9Guw1CKs6XEPcqYRY4FGgbRPnwmO9CEXF1UfxqXXlqSurYU
l66w4XJeG60jfyyraPrK/RsMqBcMSrvSo176AHO1DNeZF9XfRSFddsdw0j6BGdWjeYuiR7CsigmX
N8/rfdA+gfmyjoMQ2zx1yoPrCXdY7ubA3xRQejkoFlMtvWxW9V1YzB217ufUbrPANXszeZe3llDR
8kx6h3GkvMF1lZsB/6CI5hhe4GPijVaJUEfKtYECZHcr55bzZaoGbEnJzgDQ1EmX5LNAUbtvZLaQ
9JUOdCA3thENth7y7SspjfV3QZKpHP9JXchoM/WgqppCmH7EmaXcdP2U3hpjnX0Sl8lFXEy0fZC1
KLzZyNHfu03j9FxVUOF1mywA+MimVl7mghaOnIWUhK7c+SpS0Jbcy25XTr3lSnz1NRsp9+ZG0Aw+
rcNi2bFJPzsTZDtdG0tS8FwtvgzoXfxad2ADiRIVPLwWUJDlOq/uRgSvKdokHmp5PSI7tvRbuno9
yvLrQtNPlel3k4r7oaAR0RfgP1j3u0MNVE1SJ7SnNbiOwo076V2l939SFUFHNDC+0GlcPgrSR5B5
uznkdkAA1gisc75zPxV//ihbVcMyGlHqm9ZJCobLt1BkGkGturpGNz8L3j492m5VZDMalXoB/xFo
LvoQu6NVpVGYoNuGdWtFqLVVkjdrwqY8kQ7uJhJiFIoAqFXjA4t6N9Si3VEkKFpKETT92o+z/LuB
8cs8H6ZuhZVucumVtfYpiaIMw6ExPDGbIkN4fHaIkQF5UF/iNMJLXXyzR7OJL2mZGiA71jrSxoSy
qZ6rZV3P+Trj0sZl56YeNAuFDi18bYQoTD09vbvZ2vbBQVYBoOGEpIW+1xCpkqGYtL7v1jEqrQvP
kqRZ6Hvgdz1kEJ4e6nChaoJPK8qKJvZx+4YHQ5iDSIY3tUaWRF8wk4ikFXCLsMix50acacvCGuIT
07vpw+3OLwxRUeAmPeN43kfbO00iB2GntOtBMyPisWRi52OiWPfRyxEddtNM1796/dh+aOQAnyYg
c/072dSScB7ofRq9Q4VDb+fK5I0JKrpaMCHhhAokijFN7yzBYcv+LAcA7hqiUTGmRv+6bwrnA7YO
loaMEEgGXJyUt20T65cx0mCvcTtOE4J0jUn1GDXxTek7093Tk324SYnHQpcAqi/F9332TY+sYa8O
A0VTb8yuMvR4r2DGFK+7CLsnp01OaagcGw/6C0QMQGVEor11ZHR5GNVqi2gshQbg6ab1sk/7YO77
xH0dsbJfaiqIdcuWoYsHhgi8Hg+6u21iP1Ayw2i6tT3YN4DDzGvHbtT3I15iJ+4YhwGIe4zFuhV4
ZGhV4skfbVAZGXDyC7Ned63jzcKEqqRv6s3s6fe1h0HePJAoAvCyLEYBCLo7jIpkvoakTrNu8Gdb
1hz0mDAnsutL9rCYLKm76lLzzQCQaAUNo+GUNMcXHlkkIlzo8mVVc4fGVO2G1KrcIPTfT4r/vsRX
1zVL6d6V6W/NfA6DFtdn6pJYbCCac2Cwk3rGNES2XK81ip/LIihkt2oobMlmST3My75XaoNSeRrY
sx6m6YlAchizaCiRtsuQ5SH67K/t0EwjEHejs066KQbICIWkNKR2ZTZGeuK1HL58URwA5wCliNGM
vdMHokZTAzay13JSUGyr6mjp+8WpetPhdAJyR5YHxSPK//Ry9969pY+2iEvrwEKHsHRq+wo19PwS
gJVHvamL3+uD5qzBUofLYjRPOR8eHn6CEyUoTvQ4hSr77vBTKvRFDM9al9NoXI+t+bIs8HAGLjgt
SW5gtneK8lqLlFMv8jBo6JTeaa8AqmQ37xe5sbEjG58ie61byaegHIqVMkXxbNK4DtW+fCpTOvIy
OV/B4VD4orS+b1ZsDmYVA8u21kC1tAXmav265lRcPL2TtWNPxevkLiqadGSsu9OZFUXZtpOkgovp
nWkRKDIngiU4P3RcOCzkTpNbxP1obM1Ars5RdQ3uON9z9OdgZH3WkAhsrjgph8aFqJa+s/UuQ8e3
U+ybqe2xHC/KwXtLEbls0bktVcslS2luk7Ks1Bm8bCB6GirC3ayFZPSxRyhVdUd7aKVLw8Hrw1Sa
68TnUIPCP9QIoHFbiBeeAlkUhm8OZyihMuq7DXe44MR+2rNJEWEOsBBwCN2EaU9Ot5cYQ9wc0dsz
lHUP52adBX3ZzdQg+WH7eiwmKNHeRkHT5utuIu67CLQAFMTaw6Avo5R2tvJQ8IdgEciI1Qv9Bd+U
MvtEgDncECZ+GEArqVgS4/YboL03NRXOFyo9sjCE6kavwb4sJn+M5n5mjx/twbJwz+yCsp330zB0
v5qUCZCFA95AZIY4COy1pXBccChoNfC/YUisYrzDl7hUKrOplU+hVffQFrwQ8YyCZCNSJODoIjY9
Ot5G3UP4LtPjtY0B72e9iJxXuSqXl3abIa6Ni/OyCYpo0WWe+rKU5I+BU47zJArqywjdv7de7p3q
Px+Edw1IKyVqwcXEnWUfo0MRmTrC1MdrMPLhpSJnHHYJLtFKYpxoMRwEBDES7UnBZYHauV+PrcKq
gTQI+hkUBpxsY+QaHdr9idV07Hk0zo4NmAPg4154LarQ0BEFD0GKWdbcjAr1Ole7aaapSf9LYPjN
yxSKEpAkaJggLbYXeuoE35jejOCXKBS0JcIEYNLipOu7+MY7OTXzBuoPCiv1c9riYl4frRm47KAY
0ble64NULVLETGcsjerarqVu5gyeNZ+MOn6ZFE2xShwjX1YjLjJGkcZLR/OtS5Vi34lXeXCE8pVI
SVjFCPOS6e+lT0j8JpmTZuG66yv7zwYP5gXyhNhT0l+bN6PpURyQypWMTPHClpJTaoV7mIntzItc
iAVFs4Pf706JEalIvmKIsVbGrp7blZW9jFo/X6E2WF1Wk6MuCgiGbmB10dtKS4O5avXmIjLT6cRq
O7KmSR4RxcHzW1fBT+1+EbQiRh0cNIhZVUqXXokaaUbefiJCHZxx3MX5bJD8FnkxaIXdURwcbyZk
MOJ1XaIR4ZgTmvMpAppK3jccJfqpPOzwGicGBINOT5CiCuSu3QGDAEUFPGchTdtSPJMVJKazehE1
L7K8SVf0iv2VX/Q/tEyul02WmouYu67L1c9GmrNLFkAzvRn5W3gdIQOw7DXzR9zr7XUPiGyN5SuH
Hii7OdE9fDkiLuqCgOkulTxOXiijM8JLjjBGasuvso6udpWFygkQ9rEZRZgRyBd4BCCle3HY8gNq
i1JfrBUUsBfTpCezfiDjsmslWCoFsOmn05QDk0yB5+eQYaFoXKZIw3ZnNB+7om5KYFlqQhnZLCPq
al5Y4CnbFFnlIxmd+y8AupmpUEwmyaBVPOEomfTBDcXstlv5WgF4/umvdRgsEYUwQIyQJgjm514E
6wrVaG1vKtcaGvpzXvt3mXxqhuTyqSh2GDEYibkmUtIM5LDZfX7fr7CYz5py3dWOd03v7LteNMlq
yoxq7lRpsiwbW5vHg+FcGhACT0TqI88JAYssiF6ggkjc3uvGlwAqctjka0uZhlU60OgvB0ykIXKc
4vjsOWuI2CRQlEK9ACVViG174dqLZc9RPDMH6xc4c/j54bL2gu4Nyi7JLNQsfZ03Q/M6LwUrOsOe
QioNeQZ0Qro0keN9MRloB3exgXUPMvqrXg/01xg9oOpJZe7b0+//oEgkviuQYxIwtFMoGO2+FaDW
nl1hXL02tYBav9eML015HG+scsxuULdTbhQz704MuoGH7x5osH6RHERLz8b6YB9r4BMisEiFZqDA
R790VDoqQxFpC8hCd/g3yGTcaCJPff1R54beqfxm1Gi4SOgZXPsqZkVYhozvbakN5yga6/BK6npR
johcF3rO+7Wb7FatCw2hsqx5kynK5FpdqcxRRNCvS0Avy7bolcusjcaXUYDysoGa2CrL02Hhs/ev
AIEkCy/lxqLm5jgfEl1/Gaga/CX4KqsJzdpfPkYodnDfpedGLgG6ePc9jGadaX1nS1fZAMEt8i0b
q4Ff1M8UKxNZDcoIjIG8GHzE3VEQV8YGN4TkjWxBcGPWwwfcqqO3Ty+pwxORqhSAcsMEYYFLzt6S
ilV0zUu60kinsauzMWmEfvYpzZ3DDU3DEyi2gLrJNv393UeJtdgKsPfyqfjHUFSHplnnqSnNAuMB
CPr72sHUcf7yxf5b92wx3s+/RsPzfnzRpt35zQJlIKw12rtqfHOHbV/z0CsVf/Of/uEfd5tPeTcW
d//zr9vvaZjNwxpM1LfmX/d/dPX9f7ZyMBsxvb/3xP54t1GCSW+b6vb4v71vGsvKBXkwXWPq2+Ku
SUq2bRo79gUUTpiBdIZlmyYpof++aSxfkDxx96Kkxd0dCIOgej4IwWgXHBMEUcK2TuPf/iU/7L1V
Cf2RqizYBT6K2vsB2hPSgUFaGspLbbDLFfiyftkMmn/imDF3h6EBJa42IH0gxzAOmJfdZdlFTty0
IxIPZZN7P2Kk0yJAebLuzXQdxRXwNa1lwUmLqGimbeq0C46L/kOm4KJzpdFau8rDHlkXBYuIL9i0
hlzGKrlbO7USOovQ9PXvktBUnbXJSJFCBy9WzmNDSZR5VFl2tEBwIUPporP1OzUtw0+OxFnaThNA
Sw1vQZywaTrgdOT5yY821P2vNuRalOmD5ENeUEqck8JgOaXnkV9dGnk2BWixWHHrlnJqv1BTKcrc
Wm7Gt4WJ4uMceXzzA3UBvHna3snqeTU1GFhMihxXs85vEnwBJu7TpAYGHnFSlknXWlaXr+VIU9/j
QUYDVFLxrwDmiy74lzo1uuIj9irwKzEOTO+CARcZbHEUTOFSrSiwGEDHq8YKUtfvfiVwbd4dOC3B
XoX7Q51zrwxAR7czacNoFOGm7DJgymapXf3ahUGMwlqm8KcrVMWA6O6Fx0CPo8FSR2uppHL8KqcU
uM7lQr98+llENvXXCbsdBSwfcZ7slpvJXl4HWUrBXsmyUEHBakJPB2nZS/74KoiRz6wQBfuMN6E2
17uuXf7yyBzpaLgSmpHTc/bOmBxn99zuTHupK92lOaDlMxbaVwMJYD3OXuERCHAcqY4Teez+vgOs
rnE1QreAVgfXlr19p2S2OmRmZSx77IjJHIZxGZZ0859+tt1DR2g7kLCgIS6coFWiFSHu8UXchybg
h1hgLJUKFrXkh/bXhk28TEMjOHFfOPJAwJtMwJibX/ZTpLGocmgHg7GU46KdacnQfcLDajpxjd+9
BW0eiKYOKB+TRjbk5v0HajOt4qZvLIGNC5mjaareeXkf925ZD86tbRSwJ395Dun3UpIEM0B5coNg
fFTM6BMuuPD4zCVNjR4VoCpawrYfF0kzxotfH4rqM30kIEP6QWWrM7NKsUaG6iytdaNJ7WaRTKU1
iFD1eXqoYxMplp7gntGP29eLNfyJawfQ3CXxKpnZiK5/8Yu6dAHrejf9lFsnZvHIeEKoktYuv6BI
s5f+TFliFIqkWMtY73F0KtEYNZV4XIEGqufUfE5xIo+Nx7GpsqUhBHLK7658lbtx4tG3W5ZRaL1k
lGw5plOxMi0kR5Gzyt49PZ9HdhrcaK4GKlc2ukF78UuPzIjYxng46GYf8zJpr2oUoT8jaBCdCJUH
RGlBdEG6jiIWrXIkXPbivtJXuLuUibe0hq765CcmWPwCyrw/E5Cm1u1HLy/dTNUw8/PA9vvU3IZa
cscgDwNqpV2bXpaZV9WzRrcrw7UbgEwze4K/BlKnHhTXKXqpnVdFa0auofjji5xzppvFAIfeImte
d7OqVPKJYzNFZcWKNRSuhlyKvxFcaPNFaaBdhXKVn3jywxjDq5RZmFiCUlfc7wfpCKgVpS6BljOm
ZK6DKZ+nfX339Js8Ngg4BBqH1At5nXuzC+UJmIlfcx5ETjfHapCJM8HVPT3KbnVBBDKEfgSbnqok
adf+KKNfJBFWw84SSGB91Se1BA2hlReD0XY3Y+75V4iDygurVf23VncSf8RW3ztwkf0BZSwY99Dh
qCuJA/lRWJO03GHurHA1hGXbf9FCcls3lGOruUJDbVw5kqO/VgLb/ASPu/yaFbHdvrPwypv7OLPh
FGNUr6ntKR2+DUHSOpeyF4zyKo0H/G+6ZoR8xoao7gipycd09IY3w5Tg8ahl0o9wsgIcLNLADNzM
6azADePSf19U2fTdmkYlh2nTl7pram35MhkbT7mssaGrr/wM3sncQDIhQiw1kfTF5FgY7fogpO0M
vyXszJLgQ1OiQwZyQ50u7dLh45ACD2+p72N2Z6Jla7q5auKLZTTUQ15Fddl9jc1KfYXoFMZqvanA
n47srkoWcSwpH7IaHc+ZIRewJ3AIy2ZTjP3RPMxL80Y1ytqZq+ToHYC6Rk8WUptG9dLCdbSh9+yh
+WA3UvF+9Afni90OooEbVOYHzWqc0U0bNXqJJyuwwZQ+ABBHr/yggklOyHvbHHcrRU4+SRUAlLmV
SGbiQqUb0yX9D0126VyELwcD0obbQRnBq0mCN8NXVyV7YRWdc+1UjoG/KfZWgEQpQb/Wp74AW9lW
2qcm01VMgTw5rVwjMLzE9SRZvW50q5FAXGZ3auEXXzwQ7+9iziW48ilFIneIzBYjQ11p3o9hhj3z
hBHo975GKXkG/7CfINw4Ze9KbV+9MvUg0OYpOTVFsxy1SrdrTRhbcAZxoU5Dr77uufcDKg1aYIFd
lOM0F/eG8ZEnzhTcnfPglW5WFbRJE9co7hlTn6/VoG3J05rG+QRNDL/z3q9HDN0qdVqZcdNkuE9V
+QTeADm4mYzKWTvrwLa/sMfKmGZtAbXUhUmmf5ex/X3Zjw2ec35uhkvgZMV45VlqJWHKlckyzc62
e1Un4ehgduqY3wscj2eJUbHkcKFK308DOYiVlehyZAP0J6dRQZDmBYgMXL6qmTSQtIo/y+Dq2Fb/
NtAVu54DMgNl65GeuWmaEktzB0lnNEpC1fVDCy+BQsGuAR6W1ws3OiuJsRHzuApNoC3x7pZ1mMZB
qmLblteF+mZqIwcFPkBH7ZJquP5mKNoqWCldVHqLxtI8ZFCYMOg9XayQOjkZPlp139YOJtgBhSlt
ohfk4seSRjNdKdIfceNr0qtGyytzzcqN05tSHhzpOpXg584U5kuflWXT+RjMeVN66XhVq61yp0Z0
06PX0qzQyxjSWQwIF3/b0VNS341A3NaXmNEJn8mhA7P4p2fyL183jqe+cfK4TTDe1puPdqcr37zM
i30XgzHl1iukwcQgc+hf1gCkPuG+GdwUXaunrpbnQT+LLLUWHtyy+Yng132QK18lfxc+amUuRAuB
XkXJ3LOxNXNVv2vCBcVGVl1Ih/YHJuPG3ZhqVo9mvpSv9agt40vMSjEtQwcdU6muLLXhxmGtdMsx
Trt8zlSF+oIdpjWv1EivYLXhPVGu6n6Iv1XMvLUa5Ni30forZPlz2IaNdCKPOzytuDGBSuQGIRpb
+9I7CAkVHeQ7fxX1+AnHvqYszSL++vRhdSTjIHcR9zLaV2Sn+9RTAMV2njuDv4o1tbqmwz68HOi2
+K7tOelbdFzx/6qSLHubW+FXxatkfYXjsfYNF9CweVkOZnyHMpCfzruEkLHUoDNhCFerPoA4zR5f
tQ7FjjmIoQxgL83Ar1B5ufdZuKN+9lJlklyvUj1kHmlCvFesKPyW6/X4hkJx/MmxwulEVeRwUiFs
kIDT4odgduDPIoWY4ra6H6zqoTdX2Hsaq7ZKixOS1EdHYVLpCJIUwlDZPYFLT8+1EClwnAtEkKqT
gL5VcIrIdHQU6vpcbemaI3S1O0oDNRpydB6sNDvXXLQFsxnY9vpEOnNsFIdCmQni3qBWu5dNpH1C
HDXkYJXiUMgvJY0grclO8KMORsHjhao/Jg50wfjfe0l2Nzier+cEtVRxwkVdwNSMYoQGn17tx0Yx
VUBHgrqDIsFeAmhrHHlRJAUrKTE9Ap8jfcFJOqfY+LMoebMtbTzWL93ofD2ueAjDGvCQ9KTFzZJF
sPtiJkkzEVbEOlgGuPcjzOmGXxWNEaioN2Or63K/9W/QsOpyt2kN+5MfRbXpQmiQPiT9gDGRFOj5
pTxa9oeo0O270QmkH+SzY+rC+fSyZZoYU/pCrtoSK6jJgkyRNGEfzjGrSBcJ/ZM3Wo4KE4FccoSd
dtAgIYyxLTJYyoTCaZQMDfLTjhK/LSKdNl+XWt11hOHYbVwGCBRpAVLmaMNPRrDqgkYLZ1BOsb6m
IBcqroxOxZ/0XZPMnQoKgYun50+86/3pQ4ZRYDNAClmbwuaj/HW0GwuhaCVk+uAyANLNX8RZNK2l
PD7VzD42FMg7OmNkObRD97aQDPWhQIspXBmJiaVq2hRQfVF7jpwwPrH2dttbXAtEzxWAAO9JgOcP
sGGRZfZ97YSrrkwvm8D0XaMzvnILeDNm5k2rGSci+5FHU9FAp9dNndvgAXcXoVQGSmHrdbQyIrMU
FOjpuk4828W3+ld1S3g0dNLBg7DkuSPud4wixw+qKC6jVRGrycqRqx5Qt5b9+fSyOLJ5RQUF8iry
qVyv9gpEFbA1dVKbaCUBcphhSZ0hkV2f0q88Ogq1OxPMAU2jfYSpNjRjJ0VDtAq5VCz6XiH7MCFO
Pv0sImjuLXEkpBBGAEUB7nBfT8cYjLIMQyVadRaRrtQz/UWFb3dNvibVjasadXc3KiC39SytPj89
9rEnZFzRfhBbzNqrn+Rp78dWxdhU8sq5gzDDXOK+cwLUcHQUMFxkFShksZl3lx9S1jl+wla0yuPA
mCNQDbFqqn+VhClWHoYXwFdFIZtsaXeUJNH8qUvlaBWn9K0twNKoj8mn9OuOPAt6GYCe2Luibbl3
bMRV23TchOOVOknBpZO2VJPr5P3Tr+Xg1i70Y0Co0gplPXBq7D5KH8JL6qYyWTVl680RGRncRjOw
V2u9LlxaRaV83wz4S73Ev+0QPm4Q/vt/i4D6qO140Ez8ScMUrcabPMyad/l/9pce9ywPP+gfdycR
7RWlzZ+JwM/vtWmPPvUxyS1d1PY73U/JvqC0xXJ1QPlsfrR//ZHkmX//54DqLwR1lgIV0Y2hHs3Q
4Vc/bMn+Z3/nqe++7d2KBq0g5oKgPnMGVJ5P5TDCz3L7w459NAGOcwGtjJ6NUNcTP5xa/5Vp+Ja3
WSO63n6YZzu9ZoE/+yeLYO8THi0COs1Cdgbc0fYZ6eTsTALtYZjNRE1Ab9tJ+i9Nwt8267drgbX7
TyZi71MeTYTKRLCkICvdTwRT+2gxUAe/oIWPZsKz2wzkciIekHOdNwPmBZx2wAbAzbc/e/FANi+4
lNMoFznVf2Uj7L29v+IBUyADXmP/njUF+gUNONiPwlZg80OMfbQGHOtCBvxJ4ny/Rp7dPEARgo3G
aX3WNEj6hWCAAcR/OBnIDx7NA8kBE8F801jerJT/VmD82/UAoQMa0T8Mjnuf8igmKBfcnOmPgnnY
/uzHBO0CxALXQ9H2eGY7ghKJBtzy7DkwLyj5afATkLA4sicgIl5w3RLiFdvd94yyBKTUIBhQWSFZ
JmGmqb59TeST/l3+H+VM+gVwYApcBIH7n92doZEzYFYNh3kbRJ/fzmBBb7gf50UI64L3LRAfuxES
ID4hVOBmHybo2e2L7WF5drqgMQH0+ylcHV8IsnoBdE+omN/vm2c4EeLI5Cp83krQLoBZgKgC/HM0
RqrKBah87sSinvUsY6TAXZ41B/IFlFm8D6g63f/s7QpVvUBGGEKUSmuDn2c3E+K8hH935jxIJIjA
YITK2v3P7oWKHO0C1gxeM/fH0jM6K7YzcPb5YF3Qy+Hx2PbbH17148yJ+MgNCxTlc7xTizVw9i2C
VyxIqw93ZjQY9maAvQB8GfOp55g9QzI4t6ogcZPkYEDr4X4JHMyAQY7AVOPzvd0mzy4uUqOnCnBW
TJRk0kIIXT+vUjzq3kJQLoQBsrNpdDyzg0FcJzEQP3cOFJY6TVeKVXuPriH9RpyAIfvs3v320X/D
kQjkjCiwPfDYCez2nUCIna3OOUGy+NymQCgwCz0pbsCmqH0j437uQtCE46+oLRFeH8+CZhIKkI0E
yrkJFs8vMYCsARKa5jFsEzoo1AHPnAuN0gHccE7A3alQWBDIJxINnt2CAJqxuUv/hpMBOg0QCeFh
8ngZcIdmSkgQBZKen2e3DO5nQGiMnH0qGFygYS/9/NmbCv3CwKVEsKWeW1wQhWay2zOnQL4gsICY
/JkjC2rX48Wg6pyLGxHX55gg0S45exEIrVQ0NQQPZ/uzd01QnQtYcUiBCF3oZ5YZbEOBYO6etRFY
BawmIAQPtfb9totqXcDaEaIrzy8YbFKE86vM9oWwsSFTfggG+1mSUNsVTsiIkT/PqLidiO0LOqOo
CA8UxABFyr1AwCJx+H+FCM/m57ltBi7yQmn6rI3AbQk9RC6EIHa2P3urQLMvyD3oygjJoGcWDLa5
8tnxUObIIwcUNOD7n71kWWYl0HVDkf+ZpokPGdLZnSdVdJ5QKeLedP+zuyc0yM+AJZWfddfntia4
77JYyW7FzRfKM+Jr5+4QcU9mVoQ61PEdopA9AkSDxP3sZoPCLwk938xE9wDwnwCOnxcvzAtyZDr1
8KO2P3t7RXRg+EPaHPfHynObk/t2/bmXCYIGtSpYXQ+96v36CroDMMu4WQo5i2cWOO+zqG16d8bJ
KWqJ8Oe4mh4PFwqLQQji06B4bnOwuU2o564CiQ40N3QyBD7p8S2CJ0dNj0d/pmANap/nRgK68w7k
9o1Q6ONHV+ULgJ7AtQU79p8u/H/QiviJApyhxfd9g/8L7+pHgiQn/8ID+u/wAx6Lj7BWd/6iECvZ
fvQW8CJ+/+8d0MIGmvfoDx+geptx7v/5/QMeDr0z1sNTPfyfl+FddVt9C8bNH4z3X/PVbQqAcKOA
8uI2CdPbrLndBaZtK8h/faUDsZWfh8BTI9zcFu3tY8DbfcZ57ue+Le6+hbfJH1tE3R/5jz8+5/54
G99WwtFm++kbmOFDs/zcAR8sRg7UYn4CGc8dAfbTxsTkb0bgCDh3hIdnSG6RrwkfPu8BjbkpjJw7
xMND/M0QIlqeO8T1bdLG7cPnbL+9si1qnPvRL2/Tos38vc/e4rHO/eztzBzfbIC+tm2rcwdZ3CJp
tL7tdvfApjVMJD3302d8QMWmOz4Aqeu5A2zi0fFP56w599PXt+nXvVV/jzE795P/37e74OH7iQX5
F5jx3E/erBohQ3XU3eh+nN8wN5uZf9sexJ7NCBsdrXOf5GHxHN8B9+OQTp47zmYLPDkItcpzB3l4
mLftYaC7f5Tf9VJetfXtH+/wevRvj8mUiSLeuU+zmbJT45B+nzvOm/B2J24zUwL2/BvOBJf5ge99
7NN/w7n5kGx8uy1C1M8fJR3rw4zj/qF+Q7h1ScweJv0+qtyzRn7Hi/jjqk5us+/1zgj3t7rfFcqP
bo+/bo7nPsYqr3Ly1iQ/9gy/YZdv86XDfOOhl/a7tvhBkvyoGHfuHLlk9ne7mf32BQgA12/4cD++
ldy7BMZR5j+xpARY6tzRtq/jeGinIXnY5T53wM3hS6rc/HHwho4WCc8d7+FUORztGJ7h3NEuQz8Q
EeDIwx1DXZ873Db/PfZoh/XFp8c6dg/+yW07vB0/8NqO/bPdq7/4G9+Su9vq3/8fAAD//w==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375511</xdr:colOff>
      <xdr:row>3</xdr:row>
      <xdr:rowOff>63030</xdr:rowOff>
    </xdr:from>
    <xdr:to>
      <xdr:col>8</xdr:col>
      <xdr:colOff>783950</xdr:colOff>
      <xdr:row>24</xdr:row>
      <xdr:rowOff>156791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186F1E6-BC6A-417B-A614-3D36DD72E3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10758" y="603956"/>
              <a:ext cx="7134735" cy="3880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2244</xdr:colOff>
      <xdr:row>5</xdr:row>
      <xdr:rowOff>160196</xdr:rowOff>
    </xdr:from>
    <xdr:to>
      <xdr:col>22</xdr:col>
      <xdr:colOff>173182</xdr:colOff>
      <xdr:row>32</xdr:row>
      <xdr:rowOff>157019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824194-2B89-4ABB-9579-0FD39CEC46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85608" y="1083832"/>
              <a:ext cx="9349574" cy="498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Kawan" refreshedDate="46259.432357175923" createdVersion="7" refreshedVersion="7" minRefreshableVersion="3" recordCount="352" xr:uid="{032E1B34-62A9-4F29-BD7D-75910FDE73BF}">
  <cacheSource type="worksheet">
    <worksheetSource name="tabledata"/>
  </cacheSource>
  <cacheFields count="6">
    <cacheField name="id" numFmtId="0">
      <sharedItems containsSemiMixedTypes="0" containsString="0" containsNumber="1" containsInteger="1" minValue="1" maxValue="352"/>
    </cacheField>
    <cacheField name="kode_provinsi" numFmtId="0">
      <sharedItems containsSemiMixedTypes="0" containsString="0" containsNumber="1" containsInteger="1" minValue="11" maxValue="97" count="38">
        <n v="11"/>
        <n v="12"/>
        <n v="13"/>
        <n v="14"/>
        <n v="15"/>
        <n v="16"/>
        <n v="17"/>
        <n v="18"/>
        <n v="19"/>
        <n v="21"/>
        <n v="31"/>
        <n v="32"/>
        <n v="33"/>
        <n v="34"/>
        <n v="35"/>
        <n v="36"/>
        <n v="51"/>
        <n v="52"/>
        <n v="53"/>
        <n v="61"/>
        <n v="62"/>
        <n v="63"/>
        <n v="64"/>
        <n v="65"/>
        <n v="71"/>
        <n v="72"/>
        <n v="73"/>
        <n v="74"/>
        <n v="75"/>
        <n v="76"/>
        <n v="81"/>
        <n v="82"/>
        <n v="91"/>
        <n v="94"/>
        <n v="92"/>
        <n v="95"/>
        <n v="96"/>
        <n v="97"/>
      </sharedItems>
    </cacheField>
    <cacheField name="nama_provinsi" numFmtId="0">
      <sharedItems count="38">
        <s v="ACEH"/>
        <s v="SUMATERA UTARA"/>
        <s v="SUMATERA BARAT"/>
        <s v="RIAU"/>
        <s v="JAMBI"/>
        <s v="SUMATERA SELATAN"/>
        <s v="BENGKULU"/>
        <s v="LAMPUNG"/>
        <s v="KEPULAUAN BANGKA BELITUNG"/>
        <s v="KEPULAUAN RIAU"/>
        <s v="DKI JAKARTA"/>
        <s v="JAWA BARAT"/>
        <s v="JAWA TENGAH"/>
        <s v="DI YOGYAKARTA"/>
        <s v="JAWA TIMUR"/>
        <s v="BANTEN"/>
        <s v="BALI"/>
        <s v="NUSA TENGGARA BARAT"/>
        <s v="NUSA TENGGARA TIMUR"/>
        <s v="KALIMANTAN BARAT"/>
        <s v="KALIMANTAN TENGAH"/>
        <s v="KALIMANTAN SELATAN"/>
        <s v="KALIMANTAN TIMUR"/>
        <s v="KALIMANTAN UTARA"/>
        <s v="SULAWESI UTARA"/>
        <s v="SULAWESI TENGAH"/>
        <s v="SULAWESI SELATAN"/>
        <s v="SULAWESI TENGGARA"/>
        <s v="GORONTALO"/>
        <s v="SULAWESI BARAT"/>
        <s v="MALUKU"/>
        <s v="MALUKU UTARA"/>
        <s v="PAPUA BARAT"/>
        <s v="PAPUA"/>
        <s v="PAPUA BARAT DAYA"/>
        <s v="PAPUA SELATAN"/>
        <s v="PAPUA TENGAH"/>
        <s v="PAPUA PEGUNUNGAN"/>
      </sharedItems>
    </cacheField>
    <cacheField name="pdrb_per_kapita" numFmtId="0">
      <sharedItems containsSemiMixedTypes="0" containsString="0" containsNumber="1" minValue="16093.51" maxValue="367687.07"/>
    </cacheField>
    <cacheField name="satuan" numFmtId="0">
      <sharedItems/>
    </cacheField>
    <cacheField name="tahun" numFmtId="0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B4E328-ED8B-4FBD-887F-5F792525775C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Provinsi">
  <location ref="B3:M43" firstHeaderRow="1" firstDataRow="2" firstDataCol="1"/>
  <pivotFields count="6">
    <pivotField showAll="0"/>
    <pivotField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4"/>
        <item x="33"/>
        <item x="35"/>
        <item x="36"/>
        <item x="37"/>
        <item t="default"/>
      </items>
    </pivotField>
    <pivotField axis="axisRow" showAll="0">
      <items count="39">
        <item x="0"/>
        <item x="16"/>
        <item x="15"/>
        <item x="6"/>
        <item x="13"/>
        <item x="10"/>
        <item x="28"/>
        <item x="4"/>
        <item n="JAWA BARAT" x="11"/>
        <item x="12"/>
        <item x="14"/>
        <item x="19"/>
        <item x="21"/>
        <item x="20"/>
        <item x="22"/>
        <item x="23"/>
        <item x="8"/>
        <item x="9"/>
        <item x="7"/>
        <item x="30"/>
        <item x="31"/>
        <item x="17"/>
        <item x="18"/>
        <item x="33"/>
        <item x="32"/>
        <item x="34"/>
        <item x="37"/>
        <item x="35"/>
        <item x="36"/>
        <item x="3"/>
        <item x="29"/>
        <item x="26"/>
        <item x="25"/>
        <item x="27"/>
        <item x="24"/>
        <item x="2"/>
        <item x="5"/>
        <item x="1"/>
        <item t="default"/>
      </items>
    </pivotField>
    <pivotField dataField="1" showAll="0"/>
    <pivotField showAll="0"/>
    <pivotField axis="axisCol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2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5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Sum of pdrb_per_kapita" fld="3" baseField="0" baseItem="0"/>
  </dataFields>
  <formats count="3">
    <format dxfId="3">
      <pivotArea grandCol="1" outline="0" collapsedLevelsAreSubtotals="1" fieldPosition="0"/>
    </format>
    <format dxfId="2">
      <pivotArea type="topRight" dataOnly="0" labelOnly="1" outline="0" offset="J1" fieldPosition="0"/>
    </format>
    <format dxfId="1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32980FB-1CF0-4696-ABEA-4603E84CD59E}" autoFormatId="16" applyNumberFormats="0" applyBorderFormats="0" applyFontFormats="0" applyPatternFormats="0" applyAlignmentFormats="0" applyWidthHeightFormats="0">
  <queryTableRefresh nextId="21">
    <queryTableFields count="20">
      <queryTableField id="1" name="province_code" tableColumnId="1"/>
      <queryTableField id="2" name="province" tableColumnId="2"/>
      <queryTableField id="3" name="hydro_pp_mw" tableColumnId="3"/>
      <queryTableField id="4" name="mini_hydro_pp_mw" tableColumnId="4"/>
      <queryTableField id="5" name="micro_hydro_pp_mw" tableColumnId="5"/>
      <queryTableField id="6" name="geothermal_pp_mw" tableColumnId="6"/>
      <queryTableField id="7" name="solar_pp_mw" tableColumnId="7"/>
      <queryTableField id="8" name="wind_pp_mw" tableColumnId="8"/>
      <queryTableField id="9" name="biogas_pp_mw" tableColumnId="9"/>
      <queryTableField id="10" name="biomass_pp_mw" tableColumnId="10"/>
      <queryTableField id="11" name="biofuel_pp_mw" tableColumnId="11"/>
      <queryTableField id="12" name="waste_pp_mw" tableColumnId="12"/>
      <queryTableField id="13" name="diesel_pp_mw" tableColumnId="13"/>
      <queryTableField id="14" name="steam_pp_mw" tableColumnId="14"/>
      <queryTableField id="15" name="gas_pp_mw" tableColumnId="15"/>
      <queryTableField id="16" name="coal_gasification_pp_mw" tableColumnId="16"/>
      <queryTableField id="17" name="combined_cycle_pp_mw" tableColumnId="17"/>
      <queryTableField id="18" name="gas_engine_pp_mw" tableColumnId="18"/>
      <queryTableField id="19" name="other_pp_mw" tableColumnId="19"/>
      <queryTableField id="20" name="total_mw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8E251DB-79FB-4606-B0D2-E74474BA026C}" autoFormatId="16" applyNumberFormats="0" applyBorderFormats="0" applyFontFormats="0" applyPatternFormats="0" applyAlignmentFormats="0" applyWidthHeightFormats="0">
  <queryTableRefresh nextId="9">
    <queryTableFields count="8">
      <queryTableField id="1" name="province_code" tableColumnId="1"/>
      <queryTableField id="2" name="province" tableColumnId="2"/>
      <queryTableField id="3" name="resource_speculative_mw" tableColumnId="3"/>
      <queryTableField id="4" name="resource_hypothetical_mw" tableColumnId="4"/>
      <queryTableField id="5" name="resource_possible_mw" tableColumnId="5"/>
      <queryTableField id="6" name="reserve_probable_mw" tableColumnId="6"/>
      <queryTableField id="7" name="reserve_proven_mw" tableColumnId="7"/>
      <queryTableField id="8" name="total_mw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9656C72-028A-45F1-B774-5E605C5A8B1B}" autoFormatId="16" applyNumberFormats="0" applyBorderFormats="0" applyFontFormats="0" applyPatternFormats="0" applyAlignmentFormats="0" applyWidthHeightFormats="0">
  <queryTableRefresh nextId="10">
    <queryTableFields count="9">
      <queryTableField id="1" name="province_code" tableColumnId="1"/>
      <queryTableField id="2" name="province" tableColumnId="2"/>
      <queryTableField id="3" name="exploration_target_mt" tableColumnId="3"/>
      <queryTableField id="4" name="total_inventory_mt" tableColumnId="4"/>
      <queryTableField id="5" name="resource_inferred_mt" tableColumnId="5"/>
      <queryTableField id="6" name="resource_indicated_mt" tableColumnId="6"/>
      <queryTableField id="7" name="resource_measured_mt" tableColumnId="7"/>
      <queryTableField id="8" name="resource_total_mt" tableColumnId="8"/>
      <queryTableField id="9" name="reserve_total_m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920265-5F35-4883-812D-33121B9625F1}" name="tabledata" displayName="tabledata" ref="A1:F353" totalsRowShown="0" headerRowDxfId="9" headerRowBorderDxfId="8" tableBorderDxfId="7">
  <autoFilter ref="A1:F353" xr:uid="{6D920265-5F35-4883-812D-33121B9625F1}"/>
  <tableColumns count="6">
    <tableColumn id="1" xr3:uid="{AAB68850-A432-44D3-B243-EDEE900FF1EA}" name="id"/>
    <tableColumn id="2" xr3:uid="{CC0CD104-5D46-4634-A4B1-8CADA3980192}" name="kode_provinsi"/>
    <tableColumn id="3" xr3:uid="{603C3E2E-9F3E-4482-9808-BDF7F470065C}" name="nama_provinsi"/>
    <tableColumn id="4" xr3:uid="{312E244F-20E1-475A-83F5-1C6A59429CB7}" name="pdrb_per_kapita"/>
    <tableColumn id="5" xr3:uid="{77E917FC-06DF-43B6-9471-9B067D3212B0}" name="satuan"/>
    <tableColumn id="6" xr3:uid="{4965E316-92EA-4A12-8681-F37A6C106D8F}" name="tahu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BFB0061-09D3-44F5-847C-A34C650A25B0}" name="province_power_capacity_2025_raw" displayName="province_power_capacity_2025_raw" ref="A1:T39" tableType="queryTable" totalsRowShown="0">
  <autoFilter ref="A1:T39" xr:uid="{2BFB0061-09D3-44F5-847C-A34C650A25B0}"/>
  <sortState xmlns:xlrd2="http://schemas.microsoft.com/office/spreadsheetml/2017/richdata2" ref="A2:T39">
    <sortCondition ref="B1:B39"/>
  </sortState>
  <tableColumns count="20">
    <tableColumn id="1" xr3:uid="{9B1743D4-119D-48FF-B052-2F9C669D93FF}" uniqueName="1" name="province_code" queryTableFieldId="1"/>
    <tableColumn id="2" xr3:uid="{512A2EA8-A0A8-4DB7-B70A-6B6BE4906857}" uniqueName="2" name="province" queryTableFieldId="2" dataDxfId="6"/>
    <tableColumn id="3" xr3:uid="{4F9561E2-AFF6-4F3A-AACB-B2964C8EBF92}" uniqueName="3" name="hydro_pp_mw" queryTableFieldId="3"/>
    <tableColumn id="4" xr3:uid="{F7FC4056-870F-4192-84F4-9F0B62C3EB2E}" uniqueName="4" name="mini_hydro_pp_mw" queryTableFieldId="4"/>
    <tableColumn id="5" xr3:uid="{8A23FA9A-1A23-4E35-87BF-116B6F7AB140}" uniqueName="5" name="micro_hydro_pp_mw" queryTableFieldId="5"/>
    <tableColumn id="6" xr3:uid="{44DCECA5-6ACC-4DC5-B9C4-9587252801E5}" uniqueName="6" name="geothermal_pp_mw" queryTableFieldId="6"/>
    <tableColumn id="7" xr3:uid="{10294CD6-2FA1-4768-9260-015CFF8D4CE1}" uniqueName="7" name="solar_pp_mw" queryTableFieldId="7"/>
    <tableColumn id="8" xr3:uid="{774DED65-E5F3-486A-ACE4-7C16D12013EA}" uniqueName="8" name="wind_pp_mw" queryTableFieldId="8"/>
    <tableColumn id="9" xr3:uid="{AB59272D-FDDB-47F5-901B-9AF32E59C9CD}" uniqueName="9" name="biogas_pp_mw" queryTableFieldId="9"/>
    <tableColumn id="10" xr3:uid="{1FCF5173-CA5F-4F6E-A7D3-419425CF6B80}" uniqueName="10" name="biomass_pp_mw" queryTableFieldId="10"/>
    <tableColumn id="11" xr3:uid="{BCF1AD78-7DB9-4B82-A3FE-F8D92DA9534F}" uniqueName="11" name="biofuel_pp_mw" queryTableFieldId="11"/>
    <tableColumn id="12" xr3:uid="{FBC2669F-2243-4520-AED8-66EA93862FEF}" uniqueName="12" name="waste_pp_mw" queryTableFieldId="12"/>
    <tableColumn id="13" xr3:uid="{6C985D3E-CCEB-4BD6-9084-114DEDED20A5}" uniqueName="13" name="diesel_pp_mw" queryTableFieldId="13"/>
    <tableColumn id="14" xr3:uid="{15F65FAB-0995-4A6F-B148-4AF671ACEE0D}" uniqueName="14" name="steam_pp_mw" queryTableFieldId="14"/>
    <tableColumn id="15" xr3:uid="{49C26FF6-4B74-45D6-B3DC-CBCD7FC5F2E0}" uniqueName="15" name="gas_pp_mw" queryTableFieldId="15"/>
    <tableColumn id="16" xr3:uid="{2BA46655-CFEE-4826-B863-82D963956274}" uniqueName="16" name="coal_gasification_pp_mw" queryTableFieldId="16"/>
    <tableColumn id="17" xr3:uid="{E60C00C7-1B45-4061-B613-ED353761B0CA}" uniqueName="17" name="combined_cycle_pp_mw" queryTableFieldId="17"/>
    <tableColumn id="18" xr3:uid="{B37BA0B3-8E8C-431D-8538-3C012A3A0DD2}" uniqueName="18" name="gas_engine_pp_mw" queryTableFieldId="18"/>
    <tableColumn id="19" xr3:uid="{A93A920A-FD71-4B9E-93CA-F6D80902B271}" uniqueName="19" name="other_pp_mw" queryTableFieldId="19"/>
    <tableColumn id="20" xr3:uid="{8F66C597-44DC-471A-8806-97C7B907EF21}" uniqueName="20" name="total_mw" queryTableField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2C1D05-9B4D-4CD9-BA6B-5EAA5607FC44}" name="province_geothermal_reserves_2025_raw" displayName="province_geothermal_reserves_2025_raw" ref="A1:H33" tableType="queryTable" totalsRowShown="0">
  <autoFilter ref="A1:H33" xr:uid="{1A2C1D05-9B4D-4CD9-BA6B-5EAA5607FC44}"/>
  <sortState xmlns:xlrd2="http://schemas.microsoft.com/office/spreadsheetml/2017/richdata2" ref="A2:H33">
    <sortCondition ref="B1:B33"/>
  </sortState>
  <tableColumns count="8">
    <tableColumn id="1" xr3:uid="{1A6742B2-A816-4E3A-B1AB-7C6C6D7043A0}" uniqueName="1" name="province_code" queryTableFieldId="1"/>
    <tableColumn id="2" xr3:uid="{8011462E-B92D-4BDF-8A2A-FBB40121C7C7}" uniqueName="2" name="province" queryTableFieldId="2" dataDxfId="5"/>
    <tableColumn id="3" xr3:uid="{651935BC-104B-4198-B569-DBC8FC51924B}" uniqueName="3" name="resource_speculative_mw" queryTableFieldId="3"/>
    <tableColumn id="4" xr3:uid="{9E72D8C8-166F-4941-AAA8-1370736329A0}" uniqueName="4" name="resource_hypothetical_mw" queryTableFieldId="4"/>
    <tableColumn id="5" xr3:uid="{C79E0E8E-06F7-4276-953D-46DA7AA81541}" uniqueName="5" name="resource_possible_mw" queryTableFieldId="5"/>
    <tableColumn id="6" xr3:uid="{7B00DB07-7AA3-4796-85BE-1547AEAC9123}" uniqueName="6" name="reserve_probable_mw" queryTableFieldId="6"/>
    <tableColumn id="7" xr3:uid="{22CA614E-A681-4372-825E-BAA792A6C57D}" uniqueName="7" name="reserve_proven_mw" queryTableFieldId="7"/>
    <tableColumn id="8" xr3:uid="{63EF66E2-ACB6-4524-876D-E3ED02A40476}" uniqueName="8" name="total_mw" queryTableFieldId="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893D03-E336-44CB-887B-4A638B7BEE6B}" name="province_coal_reserves_2025_raw" displayName="province_coal_reserves_2025_raw" ref="A1:I27" tableType="queryTable" totalsRowShown="0">
  <autoFilter ref="A1:I27" xr:uid="{F4893D03-E336-44CB-887B-4A638B7BEE6B}"/>
  <sortState xmlns:xlrd2="http://schemas.microsoft.com/office/spreadsheetml/2017/richdata2" ref="A2:I27">
    <sortCondition ref="B1:B27"/>
  </sortState>
  <tableColumns count="9">
    <tableColumn id="1" xr3:uid="{25FA7C18-C2CE-4B0C-881F-C61C50A960F7}" uniqueName="1" name="province_code" queryTableFieldId="1"/>
    <tableColumn id="2" xr3:uid="{67BD9CD7-7B0C-4FFB-8AFD-140A5F4C808D}" uniqueName="2" name="province" queryTableFieldId="2" dataDxfId="4"/>
    <tableColumn id="3" xr3:uid="{126AB6F9-436D-4374-9002-0220B6E1BB05}" uniqueName="3" name="exploration_target_mt" queryTableFieldId="3"/>
    <tableColumn id="4" xr3:uid="{04FDA08C-46B9-44CB-A1BF-E60DFB202364}" uniqueName="4" name="total_inventory_mt" queryTableFieldId="4"/>
    <tableColumn id="5" xr3:uid="{05A2199B-C00F-43C0-92F8-59DBD0D72FEE}" uniqueName="5" name="resource_inferred_mt" queryTableFieldId="5"/>
    <tableColumn id="6" xr3:uid="{91076572-AA4F-4088-9A51-C4D6107BF45C}" uniqueName="6" name="resource_indicated_mt" queryTableFieldId="6"/>
    <tableColumn id="7" xr3:uid="{8BBF12BF-2147-43FC-BDF8-283B0F526AD8}" uniqueName="7" name="resource_measured_mt" queryTableFieldId="7"/>
    <tableColumn id="8" xr3:uid="{72F7C7AE-29E2-4992-ADA8-9A17554EE34C}" uniqueName="8" name="resource_total_mt" queryTableFieldId="8"/>
    <tableColumn id="9" xr3:uid="{B21D2FA0-CC67-44CB-8C29-94D1E39DC497}" uniqueName="9" name="reserve_total_mt" queryTableField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83C2A5A-C02F-4F81-87F0-5E6FFFD419BF}" name="Table12" displayName="Table12" ref="A4:A42" totalsRowShown="0">
  <autoFilter ref="A4:A42" xr:uid="{283C2A5A-C02F-4F81-87F0-5E6FFFD419BF}"/>
  <sortState xmlns:xlrd2="http://schemas.microsoft.com/office/spreadsheetml/2017/richdata2" ref="A5:A42">
    <sortCondition ref="A4:A42"/>
  </sortState>
  <tableColumns count="1">
    <tableColumn id="1" xr3:uid="{77A864A4-DE24-4C98-B59E-0BFA458A25AB}" name="province_code" dataDxfId="0">
      <calculatedColumnFormula>IFERROR(INDEX(province_power_capacity_2025_ra!$A$2:$A$38,MATCH(B5, province_power_capacity_2025_raw[province],0)),"Data Tidak Ditemukan")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B12283-A096-4C69-BA1E-1F03A3655B1E}" name="Table3" displayName="Table3" ref="A1:S39" totalsRowShown="0">
  <autoFilter ref="A1:S39" xr:uid="{36B12283-A096-4C69-BA1E-1F03A3655B1E}"/>
  <tableColumns count="19">
    <tableColumn id="1" xr3:uid="{86EEB391-046B-42B2-A291-BCC2E3891B80}" name="province_code"/>
    <tableColumn id="2" xr3:uid="{C2F6C929-A7AC-4935-B1AA-9BEF62C5C169}" name="province">
      <calculatedColumnFormula>province_power_capacity_2025_ra!B2</calculatedColumnFormula>
    </tableColumn>
    <tableColumn id="3" xr3:uid="{7A6012ED-FCB2-43C9-8DF3-63C16FDB86BE}" name="pdrb_per_kapita(2025)">
      <calculatedColumnFormula>_xlfn.XLOOKUP(B2, 'pivot and cleaned data'!$B$5:$B$43, 'pivot and cleaned data'!$L$5:$L$43, "Tidak Ditemukan")</calculatedColumnFormula>
    </tableColumn>
    <tableColumn id="4" xr3:uid="{E93D449F-7D85-4208-B4FF-509C12C41634}" name="hydro_pp_mw">
      <calculatedColumnFormula>_xlfn.XLOOKUP(B2, province_power_capacity_2025_raw[province], province_power_capacity_2025_raw[hydro_pp_mw], "Tidak Ada")</calculatedColumnFormula>
    </tableColumn>
    <tableColumn id="5" xr3:uid="{E563C2BB-AFA1-42F9-AC8B-C6C023741C1B}" name="mini_hydro_pp_mw">
      <calculatedColumnFormula>_xlfn.XLOOKUP(B2, province_power_capacity_2025_raw[province], province_power_capacity_2025_raw[mini_hydro_pp_mw], "Tidak Ada")</calculatedColumnFormula>
    </tableColumn>
    <tableColumn id="6" xr3:uid="{C05FFE0F-E2D8-4101-9756-42743BE107E7}" name="micro_hydro_pp_mw">
      <calculatedColumnFormula>_xlfn.XLOOKUP(B2, province_power_capacity_2025_raw[province], province_power_capacity_2025_raw[micro_hydro_pp_mw], "Tidak Ada")</calculatedColumnFormula>
    </tableColumn>
    <tableColumn id="7" xr3:uid="{31BAC653-9D16-4B5F-91EC-1F2815D40D8E}" name="geothermal_pp_mw">
      <calculatedColumnFormula>_xlfn.XLOOKUP(B2, province_power_capacity_2025_raw[province], province_power_capacity_2025_raw[geothermal_pp_mw], "Tidak Ada")</calculatedColumnFormula>
    </tableColumn>
    <tableColumn id="8" xr3:uid="{DA15C74F-CB40-4B55-AAA0-75DAE50DCC9E}" name="solar_pp_mw">
      <calculatedColumnFormula>_xlfn.XLOOKUP(B2, province_power_capacity_2025_raw[province], province_power_capacity_2025_raw[solar_pp_mw], "Tidak Ada")</calculatedColumnFormula>
    </tableColumn>
    <tableColumn id="9" xr3:uid="{5DA14DFC-075E-4E30-8E12-BFCB14515647}" name="wind_pp_mw">
      <calculatedColumnFormula>_xlfn.XLOOKUP(B2, province_power_capacity_2025_raw[province], province_power_capacity_2025_raw[wind_pp_mw], "Tidak Ada")</calculatedColumnFormula>
    </tableColumn>
    <tableColumn id="10" xr3:uid="{316FE883-FE59-4C84-9DD0-94E37BE2C43E}" name="biogas_pp_mw">
      <calculatedColumnFormula>_xlfn.XLOOKUP(B2, province_power_capacity_2025_raw[province], province_power_capacity_2025_raw[biogas_pp_mw], "Tidak Ada")</calculatedColumnFormula>
    </tableColumn>
    <tableColumn id="11" xr3:uid="{0BFC5387-37F9-4F20-BC4E-5F3F95230A3C}" name="biomass_pp_mw">
      <calculatedColumnFormula>_xlfn.XLOOKUP(B2, province_power_capacity_2025_raw[province], province_power_capacity_2025_raw[biomass_pp_mw], "Tidak Ada")</calculatedColumnFormula>
    </tableColumn>
    <tableColumn id="12" xr3:uid="{7DD23BF4-477B-46E0-B9D1-DEAC83EE63B0}" name="biofuel_pp_mw">
      <calculatedColumnFormula>_xlfn.XLOOKUP(B2, province_power_capacity_2025_raw[province], province_power_capacity_2025_raw[biofuel_pp_mw], "Tidak Ada")</calculatedColumnFormula>
    </tableColumn>
    <tableColumn id="13" xr3:uid="{7727A04C-DCE7-421D-B607-30DA66FEC40D}" name="waste_pp_mw">
      <calculatedColumnFormula>_xlfn.XLOOKUP(B2, province_power_capacity_2025_raw[province], province_power_capacity_2025_raw[waste_pp_mw], "Tidak Ada")</calculatedColumnFormula>
    </tableColumn>
    <tableColumn id="14" xr3:uid="{33727E81-8A71-4F7F-94E9-A4F0199296F1}" name="diesel_pp_mw">
      <calculatedColumnFormula>_xlfn.XLOOKUP(B2, province_power_capacity_2025_raw[province], province_power_capacity_2025_raw[diesel_pp_mw], "Tidak Ada")</calculatedColumnFormula>
    </tableColumn>
    <tableColumn id="15" xr3:uid="{74AC5C1D-3C1D-49D6-9F27-84BEFA7F76BA}" name="steam_pp_mw">
      <calculatedColumnFormula>_xlfn.XLOOKUP(B2, province_power_capacity_2025_raw[province], province_power_capacity_2025_raw[steam_pp_mw], "Tidak Ada")</calculatedColumnFormula>
    </tableColumn>
    <tableColumn id="16" xr3:uid="{013E9491-5362-45B1-B442-8D7E9D32702B}" name="gas_pp_mw">
      <calculatedColumnFormula>_xlfn.XLOOKUP(B2, province_power_capacity_2025_raw[province], province_power_capacity_2025_raw[gas_pp_mw], "Tidak Ada")</calculatedColumnFormula>
    </tableColumn>
    <tableColumn id="17" xr3:uid="{04BBB469-DD00-4E0B-9D61-2D345248497E}" name="coal_gasification_pp_mw">
      <calculatedColumnFormula>_xlfn.XLOOKUP(B2, province_power_capacity_2025_raw[province], province_power_capacity_2025_raw[coal_gasification_pp_mw], "Tidak Ada")</calculatedColumnFormula>
    </tableColumn>
    <tableColumn id="18" xr3:uid="{54DC2CFE-2EBB-466C-A051-9068C2EAED01}" name="combined_cycle_pp_mw">
      <calculatedColumnFormula>_xlfn.XLOOKUP(B2, province_power_capacity_2025_raw[province], province_power_capacity_2025_raw[combined_cycle_pp_mw], "Tidak Ada")</calculatedColumnFormula>
    </tableColumn>
    <tableColumn id="19" xr3:uid="{B592B892-C291-4D67-89B8-CBB29FB4FBAB}" name="gas_engine_pp_mw">
      <calculatedColumnFormula>_xlfn.XLOOKUP(B2, province_power_capacity_2025_raw[province], province_power_capacity_2025_raw[gas_engine_pp_mw], "Tidak Ada")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opLeftCell="A18" zoomScale="71" workbookViewId="0">
      <selection activeCell="B2" sqref="B2"/>
    </sheetView>
  </sheetViews>
  <sheetFormatPr defaultRowHeight="14.5" x14ac:dyDescent="0.35"/>
  <cols>
    <col min="2" max="2" width="15.36328125" customWidth="1"/>
    <col min="3" max="3" width="27.36328125" bestFit="1" customWidth="1"/>
    <col min="4" max="4" width="17.6328125" customWidth="1"/>
    <col min="5" max="5" width="11.6328125" bestFit="1" customWidth="1"/>
    <col min="8" max="8" width="24" bestFit="1" customWidth="1"/>
  </cols>
  <sheetData>
    <row r="1" spans="1:9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H1" t="s">
        <v>253</v>
      </c>
    </row>
    <row r="2" spans="1:9" x14ac:dyDescent="0.35">
      <c r="A2">
        <v>1</v>
      </c>
      <c r="B2">
        <v>11</v>
      </c>
      <c r="C2" s="1" t="s">
        <v>6</v>
      </c>
      <c r="D2">
        <v>26851.88</v>
      </c>
      <c r="E2" t="s">
        <v>7</v>
      </c>
      <c r="F2">
        <v>2016</v>
      </c>
      <c r="H2" t="str">
        <f>PROPER(tabledata[[#This Row],[nama_provinsi]])</f>
        <v>Aceh</v>
      </c>
      <c r="I2" s="4"/>
    </row>
    <row r="3" spans="1:9" x14ac:dyDescent="0.35">
      <c r="A3">
        <v>2</v>
      </c>
      <c r="B3">
        <v>12</v>
      </c>
      <c r="C3" t="s">
        <v>8</v>
      </c>
      <c r="D3">
        <v>44392.46</v>
      </c>
      <c r="E3" t="s">
        <v>7</v>
      </c>
      <c r="F3">
        <v>2016</v>
      </c>
      <c r="H3" t="str">
        <f>PROPER(tabledata[[#This Row],[nama_provinsi]])</f>
        <v>Sumatera Utara</v>
      </c>
      <c r="I3" s="4"/>
    </row>
    <row r="4" spans="1:9" x14ac:dyDescent="0.35">
      <c r="A4">
        <v>3</v>
      </c>
      <c r="B4">
        <v>13</v>
      </c>
      <c r="C4" t="s">
        <v>9</v>
      </c>
      <c r="D4">
        <v>37284.559999999998</v>
      </c>
      <c r="E4" t="s">
        <v>7</v>
      </c>
      <c r="F4">
        <v>2016</v>
      </c>
      <c r="H4" t="str">
        <f>PROPER(tabledata[[#This Row],[nama_provinsi]])</f>
        <v>Sumatera Barat</v>
      </c>
      <c r="I4" s="4"/>
    </row>
    <row r="5" spans="1:9" x14ac:dyDescent="0.35">
      <c r="A5">
        <v>4</v>
      </c>
      <c r="B5">
        <v>14</v>
      </c>
      <c r="C5" t="s">
        <v>10</v>
      </c>
      <c r="D5">
        <v>104861.11</v>
      </c>
      <c r="E5" t="s">
        <v>7</v>
      </c>
      <c r="F5">
        <v>2016</v>
      </c>
      <c r="H5" t="str">
        <f>PROPER(tabledata[[#This Row],[nama_provinsi]])</f>
        <v>Riau</v>
      </c>
      <c r="I5" s="4"/>
    </row>
    <row r="6" spans="1:9" x14ac:dyDescent="0.35">
      <c r="A6">
        <v>5</v>
      </c>
      <c r="B6">
        <v>15</v>
      </c>
      <c r="C6" t="s">
        <v>11</v>
      </c>
      <c r="D6">
        <v>49494.98</v>
      </c>
      <c r="E6" t="s">
        <v>7</v>
      </c>
      <c r="F6">
        <v>2016</v>
      </c>
      <c r="H6" t="str">
        <f>PROPER(tabledata[[#This Row],[nama_provinsi]])</f>
        <v>Jambi</v>
      </c>
      <c r="I6" s="4"/>
    </row>
    <row r="7" spans="1:9" x14ac:dyDescent="0.35">
      <c r="A7">
        <v>6</v>
      </c>
      <c r="B7">
        <v>16</v>
      </c>
      <c r="C7" t="s">
        <v>12</v>
      </c>
      <c r="D7">
        <v>43361.26</v>
      </c>
      <c r="E7" t="s">
        <v>7</v>
      </c>
      <c r="F7">
        <v>2016</v>
      </c>
      <c r="H7" t="str">
        <f>PROPER(tabledata[[#This Row],[nama_provinsi]])</f>
        <v>Sumatera Selatan</v>
      </c>
      <c r="I7" s="4"/>
    </row>
    <row r="8" spans="1:9" x14ac:dyDescent="0.35">
      <c r="A8">
        <v>7</v>
      </c>
      <c r="B8">
        <v>17</v>
      </c>
      <c r="C8" t="s">
        <v>13</v>
      </c>
      <c r="D8">
        <v>29076.22</v>
      </c>
      <c r="E8" t="s">
        <v>7</v>
      </c>
      <c r="F8">
        <v>2016</v>
      </c>
      <c r="H8" t="str">
        <f>PROPER(tabledata[[#This Row],[nama_provinsi]])</f>
        <v>Bengkulu</v>
      </c>
      <c r="I8" s="4"/>
    </row>
    <row r="9" spans="1:9" x14ac:dyDescent="0.35">
      <c r="A9">
        <v>8</v>
      </c>
      <c r="B9">
        <v>18</v>
      </c>
      <c r="C9" t="s">
        <v>14</v>
      </c>
      <c r="D9">
        <v>34053.97</v>
      </c>
      <c r="E9" t="s">
        <v>7</v>
      </c>
      <c r="F9">
        <v>2016</v>
      </c>
      <c r="H9" t="str">
        <f>PROPER(tabledata[[#This Row],[nama_provinsi]])</f>
        <v>Lampung</v>
      </c>
      <c r="I9" s="4"/>
    </row>
    <row r="10" spans="1:9" x14ac:dyDescent="0.35">
      <c r="A10">
        <v>9</v>
      </c>
      <c r="B10">
        <v>19</v>
      </c>
      <c r="C10" t="s">
        <v>15</v>
      </c>
      <c r="D10">
        <v>46402.47</v>
      </c>
      <c r="E10" t="s">
        <v>7</v>
      </c>
      <c r="F10">
        <v>2016</v>
      </c>
      <c r="H10" t="str">
        <f>PROPER(tabledata[[#This Row],[nama_provinsi]])</f>
        <v>Kepulauan Bangka Belitung</v>
      </c>
      <c r="I10" s="4"/>
    </row>
    <row r="11" spans="1:9" x14ac:dyDescent="0.35">
      <c r="A11">
        <v>10</v>
      </c>
      <c r="B11">
        <v>21</v>
      </c>
      <c r="C11" t="s">
        <v>16</v>
      </c>
      <c r="D11">
        <v>106503.78</v>
      </c>
      <c r="E11" t="s">
        <v>7</v>
      </c>
      <c r="F11">
        <v>2016</v>
      </c>
      <c r="H11" t="str">
        <f>PROPER(tabledata[[#This Row],[nama_provinsi]])</f>
        <v>Kepulauan Riau</v>
      </c>
      <c r="I11" s="4"/>
    </row>
    <row r="12" spans="1:9" x14ac:dyDescent="0.35">
      <c r="A12">
        <v>11</v>
      </c>
      <c r="B12">
        <v>31</v>
      </c>
      <c r="C12" t="s">
        <v>17</v>
      </c>
      <c r="D12">
        <v>210075.09</v>
      </c>
      <c r="E12" t="s">
        <v>7</v>
      </c>
      <c r="F12">
        <v>2016</v>
      </c>
      <c r="H12" t="s">
        <v>251</v>
      </c>
      <c r="I12" s="4"/>
    </row>
    <row r="13" spans="1:9" x14ac:dyDescent="0.35">
      <c r="A13">
        <v>12</v>
      </c>
      <c r="B13">
        <v>32</v>
      </c>
      <c r="C13" t="s">
        <v>18</v>
      </c>
      <c r="D13">
        <v>34893.620000000003</v>
      </c>
      <c r="E13" t="s">
        <v>7</v>
      </c>
      <c r="F13">
        <v>2016</v>
      </c>
      <c r="H13" t="str">
        <f>PROPER(tabledata[[#This Row],[nama_provinsi]])</f>
        <v>Jawa Barat</v>
      </c>
      <c r="I13" s="4"/>
    </row>
    <row r="14" spans="1:9" x14ac:dyDescent="0.35">
      <c r="A14">
        <v>13</v>
      </c>
      <c r="B14">
        <v>33</v>
      </c>
      <c r="C14" t="s">
        <v>19</v>
      </c>
      <c r="D14">
        <v>31961.95</v>
      </c>
      <c r="E14" t="s">
        <v>7</v>
      </c>
      <c r="F14">
        <v>2016</v>
      </c>
      <c r="H14" t="str">
        <f>PROPER(tabledata[[#This Row],[nama_provinsi]])</f>
        <v>Jawa Tengah</v>
      </c>
      <c r="I14" s="4"/>
    </row>
    <row r="15" spans="1:9" x14ac:dyDescent="0.35">
      <c r="A15">
        <v>14</v>
      </c>
      <c r="B15">
        <v>34</v>
      </c>
      <c r="C15" t="s">
        <v>20</v>
      </c>
      <c r="D15">
        <v>29552.53</v>
      </c>
      <c r="E15" t="s">
        <v>7</v>
      </c>
      <c r="F15">
        <v>2016</v>
      </c>
      <c r="H15" t="s">
        <v>246</v>
      </c>
      <c r="I15" s="4"/>
    </row>
    <row r="16" spans="1:9" x14ac:dyDescent="0.35">
      <c r="A16">
        <v>15</v>
      </c>
      <c r="B16">
        <v>35</v>
      </c>
      <c r="C16" t="s">
        <v>21</v>
      </c>
      <c r="D16">
        <v>47491.519999999997</v>
      </c>
      <c r="E16" t="s">
        <v>7</v>
      </c>
      <c r="F16">
        <v>2016</v>
      </c>
      <c r="H16" t="str">
        <f>PROPER(tabledata[[#This Row],[nama_provinsi]])</f>
        <v>Jawa Timur</v>
      </c>
      <c r="I16" s="4"/>
    </row>
    <row r="17" spans="1:9" x14ac:dyDescent="0.35">
      <c r="A17">
        <v>16</v>
      </c>
      <c r="B17">
        <v>36</v>
      </c>
      <c r="C17" t="s">
        <v>22</v>
      </c>
      <c r="D17">
        <v>42439.73</v>
      </c>
      <c r="E17" t="s">
        <v>7</v>
      </c>
      <c r="F17">
        <v>2016</v>
      </c>
      <c r="H17" t="str">
        <f>PROPER(tabledata[[#This Row],[nama_provinsi]])</f>
        <v>Banten</v>
      </c>
      <c r="I17" s="4"/>
    </row>
    <row r="18" spans="1:9" x14ac:dyDescent="0.35">
      <c r="A18">
        <v>17</v>
      </c>
      <c r="B18">
        <v>51</v>
      </c>
      <c r="C18" t="s">
        <v>23</v>
      </c>
      <c r="D18">
        <v>46211.040000000001</v>
      </c>
      <c r="E18" t="s">
        <v>7</v>
      </c>
      <c r="F18">
        <v>2016</v>
      </c>
      <c r="H18" t="str">
        <f>PROPER(tabledata[[#This Row],[nama_provinsi]])</f>
        <v>Bali</v>
      </c>
      <c r="I18" s="4"/>
    </row>
    <row r="19" spans="1:9" x14ac:dyDescent="0.35">
      <c r="A19">
        <v>18</v>
      </c>
      <c r="B19">
        <v>52</v>
      </c>
      <c r="C19" t="s">
        <v>24</v>
      </c>
      <c r="D19">
        <v>23786.95</v>
      </c>
      <c r="E19" t="s">
        <v>7</v>
      </c>
      <c r="F19">
        <v>2016</v>
      </c>
      <c r="H19" t="str">
        <f>PROPER(tabledata[[#This Row],[nama_provinsi]])</f>
        <v>Nusa Tenggara Barat</v>
      </c>
      <c r="I19" s="4"/>
    </row>
    <row r="20" spans="1:9" x14ac:dyDescent="0.35">
      <c r="A20">
        <v>19</v>
      </c>
      <c r="B20">
        <v>53</v>
      </c>
      <c r="C20" t="s">
        <v>25</v>
      </c>
      <c r="D20">
        <v>16093.51</v>
      </c>
      <c r="E20" t="s">
        <v>7</v>
      </c>
      <c r="F20">
        <v>2016</v>
      </c>
      <c r="H20" t="str">
        <f>PROPER(tabledata[[#This Row],[nama_provinsi]])</f>
        <v>Nusa Tenggara Timur</v>
      </c>
      <c r="I20" s="4"/>
    </row>
    <row r="21" spans="1:9" x14ac:dyDescent="0.35">
      <c r="A21">
        <v>20</v>
      </c>
      <c r="B21">
        <v>61</v>
      </c>
      <c r="C21" t="s">
        <v>26</v>
      </c>
      <c r="D21">
        <v>33190.65</v>
      </c>
      <c r="E21" t="s">
        <v>7</v>
      </c>
      <c r="F21">
        <v>2016</v>
      </c>
      <c r="H21" t="str">
        <f>PROPER(tabledata[[#This Row],[nama_provinsi]])</f>
        <v>Kalimantan Barat</v>
      </c>
      <c r="I21" s="4"/>
    </row>
    <row r="22" spans="1:9" x14ac:dyDescent="0.35">
      <c r="A22">
        <v>21</v>
      </c>
      <c r="B22">
        <v>62</v>
      </c>
      <c r="C22" t="s">
        <v>27</v>
      </c>
      <c r="D22">
        <v>43905.33</v>
      </c>
      <c r="E22" t="s">
        <v>7</v>
      </c>
      <c r="F22">
        <v>2016</v>
      </c>
      <c r="H22" t="str">
        <f>PROPER(tabledata[[#This Row],[nama_provinsi]])</f>
        <v>Kalimantan Tengah</v>
      </c>
      <c r="I22" s="4"/>
    </row>
    <row r="23" spans="1:9" x14ac:dyDescent="0.35">
      <c r="A23">
        <v>22</v>
      </c>
      <c r="B23">
        <v>63</v>
      </c>
      <c r="C23" t="s">
        <v>28</v>
      </c>
      <c r="D23">
        <v>36022.980000000003</v>
      </c>
      <c r="E23" t="s">
        <v>7</v>
      </c>
      <c r="F23">
        <v>2016</v>
      </c>
      <c r="H23" t="str">
        <f>PROPER(tabledata[[#This Row],[nama_provinsi]])</f>
        <v>Kalimantan Selatan</v>
      </c>
      <c r="I23" s="4"/>
    </row>
    <row r="24" spans="1:9" x14ac:dyDescent="0.35">
      <c r="A24">
        <v>23</v>
      </c>
      <c r="B24">
        <v>64</v>
      </c>
      <c r="C24" t="s">
        <v>29</v>
      </c>
      <c r="D24">
        <v>145343.19</v>
      </c>
      <c r="E24" t="s">
        <v>7</v>
      </c>
      <c r="F24">
        <v>2016</v>
      </c>
      <c r="H24" t="str">
        <f>PROPER(tabledata[[#This Row],[nama_provinsi]])</f>
        <v>Kalimantan Timur</v>
      </c>
      <c r="I24" s="4"/>
    </row>
    <row r="25" spans="1:9" x14ac:dyDescent="0.35">
      <c r="A25">
        <v>24</v>
      </c>
      <c r="B25">
        <v>65</v>
      </c>
      <c r="C25" t="s">
        <v>30</v>
      </c>
      <c r="D25">
        <v>99112.33</v>
      </c>
      <c r="E25" t="s">
        <v>7</v>
      </c>
      <c r="F25">
        <v>2016</v>
      </c>
      <c r="H25" t="str">
        <f>PROPER(tabledata[[#This Row],[nama_provinsi]])</f>
        <v>Kalimantan Utara</v>
      </c>
      <c r="I25" s="4"/>
    </row>
    <row r="26" spans="1:9" x14ac:dyDescent="0.35">
      <c r="A26">
        <v>25</v>
      </c>
      <c r="B26">
        <v>71</v>
      </c>
      <c r="C26" t="s">
        <v>31</v>
      </c>
      <c r="D26">
        <v>41246.25</v>
      </c>
      <c r="E26" t="s">
        <v>7</v>
      </c>
      <c r="F26">
        <v>2016</v>
      </c>
      <c r="H26" t="str">
        <f>PROPER(tabledata[[#This Row],[nama_provinsi]])</f>
        <v>Sulawesi Utara</v>
      </c>
      <c r="I26" s="4"/>
    </row>
    <row r="27" spans="1:9" x14ac:dyDescent="0.35">
      <c r="A27">
        <v>26</v>
      </c>
      <c r="B27">
        <v>72</v>
      </c>
      <c r="C27" t="s">
        <v>32</v>
      </c>
      <c r="D27">
        <v>41082.04</v>
      </c>
      <c r="E27" t="s">
        <v>7</v>
      </c>
      <c r="F27">
        <v>2016</v>
      </c>
      <c r="H27" t="str">
        <f>PROPER(tabledata[[#This Row],[nama_provinsi]])</f>
        <v>Sulawesi Tengah</v>
      </c>
      <c r="I27" s="4"/>
    </row>
    <row r="28" spans="1:9" x14ac:dyDescent="0.35">
      <c r="A28">
        <v>27</v>
      </c>
      <c r="B28">
        <v>73</v>
      </c>
      <c r="C28" t="s">
        <v>33</v>
      </c>
      <c r="D28">
        <v>43817.39</v>
      </c>
      <c r="E28" t="s">
        <v>7</v>
      </c>
      <c r="F28">
        <v>2016</v>
      </c>
      <c r="H28" t="str">
        <f>PROPER(tabledata[[#This Row],[nama_provinsi]])</f>
        <v>Sulawesi Selatan</v>
      </c>
      <c r="I28" s="4"/>
    </row>
    <row r="29" spans="1:9" x14ac:dyDescent="0.35">
      <c r="A29">
        <v>28</v>
      </c>
      <c r="B29">
        <v>74</v>
      </c>
      <c r="C29" t="s">
        <v>34</v>
      </c>
      <c r="D29">
        <v>38022.129999999997</v>
      </c>
      <c r="E29" t="s">
        <v>7</v>
      </c>
      <c r="F29">
        <v>2016</v>
      </c>
      <c r="H29" t="str">
        <f>PROPER(tabledata[[#This Row],[nama_provinsi]])</f>
        <v>Sulawesi Tenggara</v>
      </c>
      <c r="I29" s="4"/>
    </row>
    <row r="30" spans="1:9" x14ac:dyDescent="0.35">
      <c r="A30">
        <v>29</v>
      </c>
      <c r="B30">
        <v>75</v>
      </c>
      <c r="C30" t="s">
        <v>35</v>
      </c>
      <c r="D30">
        <v>27544.77</v>
      </c>
      <c r="E30" t="s">
        <v>7</v>
      </c>
      <c r="F30">
        <v>2016</v>
      </c>
      <c r="H30" t="str">
        <f>PROPER(tabledata[[#This Row],[nama_provinsi]])</f>
        <v>Gorontalo</v>
      </c>
      <c r="I30" s="4"/>
    </row>
    <row r="31" spans="1:9" x14ac:dyDescent="0.35">
      <c r="A31">
        <v>30</v>
      </c>
      <c r="B31">
        <v>76</v>
      </c>
      <c r="C31" t="s">
        <v>36</v>
      </c>
      <c r="D31">
        <v>27513.06</v>
      </c>
      <c r="E31" t="s">
        <v>7</v>
      </c>
      <c r="F31">
        <v>2016</v>
      </c>
      <c r="H31" t="str">
        <f>PROPER(tabledata[[#This Row],[nama_provinsi]])</f>
        <v>Sulawesi Barat</v>
      </c>
      <c r="I31" s="4"/>
    </row>
    <row r="32" spans="1:9" x14ac:dyDescent="0.35">
      <c r="A32">
        <v>31</v>
      </c>
      <c r="B32">
        <v>81</v>
      </c>
      <c r="C32" t="s">
        <v>37</v>
      </c>
      <c r="D32">
        <v>21599.17</v>
      </c>
      <c r="E32" t="s">
        <v>7</v>
      </c>
      <c r="F32">
        <v>2016</v>
      </c>
      <c r="H32" t="str">
        <f>PROPER(tabledata[[#This Row],[nama_provinsi]])</f>
        <v>Maluku</v>
      </c>
      <c r="I32" s="4"/>
    </row>
    <row r="33" spans="1:9" x14ac:dyDescent="0.35">
      <c r="A33">
        <v>32</v>
      </c>
      <c r="B33">
        <v>82</v>
      </c>
      <c r="C33" t="s">
        <v>38</v>
      </c>
      <c r="D33">
        <v>24580.75</v>
      </c>
      <c r="E33" t="s">
        <v>7</v>
      </c>
      <c r="F33">
        <v>2016</v>
      </c>
      <c r="H33" t="str">
        <f>PROPER(tabledata[[#This Row],[nama_provinsi]])</f>
        <v>Maluku Utara</v>
      </c>
      <c r="I33" s="4"/>
    </row>
    <row r="34" spans="1:9" x14ac:dyDescent="0.35">
      <c r="A34">
        <v>33</v>
      </c>
      <c r="B34">
        <v>91</v>
      </c>
      <c r="C34" t="s">
        <v>39</v>
      </c>
      <c r="D34">
        <v>74584.63</v>
      </c>
      <c r="E34" t="s">
        <v>7</v>
      </c>
      <c r="F34">
        <v>2016</v>
      </c>
      <c r="H34" t="str">
        <f>PROPER(tabledata[[#This Row],[nama_provinsi]])</f>
        <v>Papua Barat</v>
      </c>
      <c r="I34" s="4"/>
    </row>
    <row r="35" spans="1:9" x14ac:dyDescent="0.35">
      <c r="A35">
        <v>34</v>
      </c>
      <c r="B35">
        <v>94</v>
      </c>
      <c r="C35" t="s">
        <v>40</v>
      </c>
      <c r="D35">
        <v>54002.15</v>
      </c>
      <c r="E35" t="s">
        <v>7</v>
      </c>
      <c r="F35">
        <v>2016</v>
      </c>
      <c r="H35" t="str">
        <f>PROPER(tabledata[[#This Row],[nama_provinsi]])</f>
        <v>Papua</v>
      </c>
      <c r="I35" s="4"/>
    </row>
    <row r="36" spans="1:9" x14ac:dyDescent="0.35">
      <c r="A36" s="1">
        <v>35</v>
      </c>
      <c r="B36" s="1">
        <v>11</v>
      </c>
      <c r="C36" s="1" t="s">
        <v>6</v>
      </c>
      <c r="D36" s="1">
        <v>28096.71</v>
      </c>
      <c r="E36" s="1" t="s">
        <v>7</v>
      </c>
      <c r="F36" s="1">
        <v>2017</v>
      </c>
      <c r="H36" t="str">
        <f>PROPER(tabledata[[#This Row],[nama_provinsi]])</f>
        <v>Aceh</v>
      </c>
      <c r="I36" s="4"/>
    </row>
    <row r="37" spans="1:9" x14ac:dyDescent="0.35">
      <c r="A37">
        <v>36</v>
      </c>
      <c r="B37">
        <v>12</v>
      </c>
      <c r="C37" t="s">
        <v>8</v>
      </c>
      <c r="D37">
        <v>48003.6</v>
      </c>
      <c r="E37" t="s">
        <v>7</v>
      </c>
      <c r="F37">
        <v>2017</v>
      </c>
      <c r="H37" t="str">
        <f>PROPER(tabledata[[#This Row],[nama_provinsi]])</f>
        <v>Sumatera Utara</v>
      </c>
      <c r="I37" s="4"/>
    </row>
    <row r="38" spans="1:9" x14ac:dyDescent="0.35">
      <c r="A38">
        <v>37</v>
      </c>
      <c r="B38">
        <v>13</v>
      </c>
      <c r="C38" t="s">
        <v>9</v>
      </c>
      <c r="D38">
        <v>40194.29</v>
      </c>
      <c r="E38" t="s">
        <v>7</v>
      </c>
      <c r="F38">
        <v>2017</v>
      </c>
      <c r="H38" t="str">
        <f>PROPER(tabledata[[#This Row],[nama_provinsi]])</f>
        <v>Sumatera Barat</v>
      </c>
      <c r="I38" s="4"/>
    </row>
    <row r="39" spans="1:9" x14ac:dyDescent="0.35">
      <c r="A39">
        <v>38</v>
      </c>
      <c r="B39">
        <v>14</v>
      </c>
      <c r="C39" t="s">
        <v>10</v>
      </c>
      <c r="D39">
        <v>105844.77</v>
      </c>
      <c r="E39" t="s">
        <v>7</v>
      </c>
      <c r="F39">
        <v>2017</v>
      </c>
      <c r="H39" t="str">
        <f>PROPER(tabledata[[#This Row],[nama_provinsi]])</f>
        <v>Riau</v>
      </c>
      <c r="I39" s="4"/>
    </row>
    <row r="40" spans="1:9" x14ac:dyDescent="0.35">
      <c r="A40">
        <v>39</v>
      </c>
      <c r="B40">
        <v>15</v>
      </c>
      <c r="C40" t="s">
        <v>11</v>
      </c>
      <c r="D40">
        <v>53993.4</v>
      </c>
      <c r="E40" t="s">
        <v>7</v>
      </c>
      <c r="F40">
        <v>2017</v>
      </c>
      <c r="H40" t="str">
        <f>PROPER(tabledata[[#This Row],[nama_provinsi]])</f>
        <v>Jambi</v>
      </c>
      <c r="I40" s="7"/>
    </row>
    <row r="41" spans="1:9" x14ac:dyDescent="0.35">
      <c r="A41">
        <v>40</v>
      </c>
      <c r="B41">
        <v>16</v>
      </c>
      <c r="C41" t="s">
        <v>12</v>
      </c>
      <c r="D41">
        <v>46315.05</v>
      </c>
      <c r="E41" t="s">
        <v>7</v>
      </c>
      <c r="F41">
        <v>2017</v>
      </c>
      <c r="H41" t="str">
        <f>PROPER(tabledata[[#This Row],[nama_provinsi]])</f>
        <v>Sumatera Selatan</v>
      </c>
    </row>
    <row r="42" spans="1:9" x14ac:dyDescent="0.35">
      <c r="A42">
        <v>41</v>
      </c>
      <c r="B42">
        <v>17</v>
      </c>
      <c r="C42" t="s">
        <v>13</v>
      </c>
      <c r="D42">
        <v>31359.48</v>
      </c>
      <c r="E42" t="s">
        <v>7</v>
      </c>
      <c r="F42">
        <v>2017</v>
      </c>
      <c r="H42" t="str">
        <f>PROPER(tabledata[[#This Row],[nama_provinsi]])</f>
        <v>Bengkulu</v>
      </c>
    </row>
    <row r="43" spans="1:9" x14ac:dyDescent="0.35">
      <c r="A43">
        <v>42</v>
      </c>
      <c r="B43">
        <v>18</v>
      </c>
      <c r="C43" t="s">
        <v>14</v>
      </c>
      <c r="D43">
        <v>36998.32</v>
      </c>
      <c r="E43" t="s">
        <v>7</v>
      </c>
      <c r="F43">
        <v>2017</v>
      </c>
      <c r="H43" t="str">
        <f>PROPER(tabledata[[#This Row],[nama_provinsi]])</f>
        <v>Lampung</v>
      </c>
    </row>
    <row r="44" spans="1:9" x14ac:dyDescent="0.35">
      <c r="A44">
        <v>43</v>
      </c>
      <c r="B44">
        <v>19</v>
      </c>
      <c r="C44" t="s">
        <v>15</v>
      </c>
      <c r="D44">
        <v>48827.25</v>
      </c>
      <c r="E44" t="s">
        <v>7</v>
      </c>
      <c r="F44">
        <v>2017</v>
      </c>
      <c r="H44" t="str">
        <f>PROPER(tabledata[[#This Row],[nama_provinsi]])</f>
        <v>Kepulauan Bangka Belitung</v>
      </c>
    </row>
    <row r="45" spans="1:9" x14ac:dyDescent="0.35">
      <c r="A45">
        <v>44</v>
      </c>
      <c r="B45">
        <v>21</v>
      </c>
      <c r="C45" t="s">
        <v>16</v>
      </c>
      <c r="D45">
        <v>109332.85</v>
      </c>
      <c r="E45" t="s">
        <v>7</v>
      </c>
      <c r="F45">
        <v>2017</v>
      </c>
      <c r="H45" t="str">
        <f>PROPER(tabledata[[#This Row],[nama_provinsi]])</f>
        <v>Kepulauan Riau</v>
      </c>
    </row>
    <row r="46" spans="1:9" x14ac:dyDescent="0.35">
      <c r="A46">
        <v>45</v>
      </c>
      <c r="B46">
        <v>31</v>
      </c>
      <c r="C46" t="s">
        <v>17</v>
      </c>
      <c r="D46">
        <v>228002.73</v>
      </c>
      <c r="E46" t="s">
        <v>7</v>
      </c>
      <c r="F46">
        <v>2017</v>
      </c>
      <c r="H46" t="str">
        <f>PROPER(tabledata[[#This Row],[nama_provinsi]])</f>
        <v>Dki Jakarta</v>
      </c>
    </row>
    <row r="47" spans="1:9" x14ac:dyDescent="0.35">
      <c r="A47">
        <v>46</v>
      </c>
      <c r="B47">
        <v>32</v>
      </c>
      <c r="C47" t="s">
        <v>18</v>
      </c>
      <c r="D47">
        <v>37223.11</v>
      </c>
      <c r="E47" t="s">
        <v>7</v>
      </c>
      <c r="F47">
        <v>2017</v>
      </c>
      <c r="H47" t="str">
        <f>PROPER(tabledata[[#This Row],[nama_provinsi]])</f>
        <v>Jawa Barat</v>
      </c>
    </row>
    <row r="48" spans="1:9" x14ac:dyDescent="0.35">
      <c r="A48">
        <v>47</v>
      </c>
      <c r="B48">
        <v>33</v>
      </c>
      <c r="C48" t="s">
        <v>19</v>
      </c>
      <c r="D48">
        <v>34234.31</v>
      </c>
      <c r="E48" t="s">
        <v>7</v>
      </c>
      <c r="F48">
        <v>2017</v>
      </c>
      <c r="H48" t="str">
        <f>PROPER(tabledata[[#This Row],[nama_provinsi]])</f>
        <v>Jawa Tengah</v>
      </c>
    </row>
    <row r="49" spans="1:8" x14ac:dyDescent="0.35">
      <c r="A49">
        <v>48</v>
      </c>
      <c r="B49">
        <v>34</v>
      </c>
      <c r="C49" t="s">
        <v>20</v>
      </c>
      <c r="D49">
        <v>31664.92</v>
      </c>
      <c r="E49" t="s">
        <v>7</v>
      </c>
      <c r="F49">
        <v>2017</v>
      </c>
      <c r="H49" t="str">
        <f>PROPER(tabledata[[#This Row],[nama_provinsi]])</f>
        <v>Di Yogyakarta</v>
      </c>
    </row>
    <row r="50" spans="1:8" x14ac:dyDescent="0.35">
      <c r="A50">
        <v>49</v>
      </c>
      <c r="B50">
        <v>35</v>
      </c>
      <c r="C50" t="s">
        <v>21</v>
      </c>
      <c r="D50">
        <v>51228.45</v>
      </c>
      <c r="E50" t="s">
        <v>7</v>
      </c>
      <c r="F50">
        <v>2017</v>
      </c>
      <c r="H50" t="str">
        <f>PROPER(tabledata[[#This Row],[nama_provinsi]])</f>
        <v>Jawa Timur</v>
      </c>
    </row>
    <row r="51" spans="1:8" x14ac:dyDescent="0.35">
      <c r="A51">
        <v>50</v>
      </c>
      <c r="B51">
        <v>36</v>
      </c>
      <c r="C51" t="s">
        <v>22</v>
      </c>
      <c r="D51">
        <v>45275.58</v>
      </c>
      <c r="E51" t="s">
        <v>7</v>
      </c>
      <c r="F51">
        <v>2017</v>
      </c>
      <c r="H51" t="str">
        <f>PROPER(tabledata[[#This Row],[nama_provinsi]])</f>
        <v>Banten</v>
      </c>
    </row>
    <row r="52" spans="1:8" x14ac:dyDescent="0.35">
      <c r="A52">
        <v>51</v>
      </c>
      <c r="B52">
        <v>51</v>
      </c>
      <c r="C52" t="s">
        <v>23</v>
      </c>
      <c r="D52">
        <v>50167.07</v>
      </c>
      <c r="E52" t="s">
        <v>7</v>
      </c>
      <c r="F52">
        <v>2017</v>
      </c>
      <c r="H52" t="str">
        <f>PROPER(tabledata[[#This Row],[nama_provinsi]])</f>
        <v>Bali</v>
      </c>
    </row>
    <row r="53" spans="1:8" x14ac:dyDescent="0.35">
      <c r="A53">
        <v>52</v>
      </c>
      <c r="B53">
        <v>52</v>
      </c>
      <c r="C53" t="s">
        <v>24</v>
      </c>
      <c r="D53">
        <v>24986.54</v>
      </c>
      <c r="E53" t="s">
        <v>7</v>
      </c>
      <c r="F53">
        <v>2017</v>
      </c>
      <c r="H53" t="str">
        <f>PROPER(tabledata[[#This Row],[nama_provinsi]])</f>
        <v>Nusa Tenggara Barat</v>
      </c>
    </row>
    <row r="54" spans="1:8" x14ac:dyDescent="0.35">
      <c r="A54">
        <v>53</v>
      </c>
      <c r="B54">
        <v>53</v>
      </c>
      <c r="C54" t="s">
        <v>25</v>
      </c>
      <c r="D54">
        <v>17165.45</v>
      </c>
      <c r="E54" t="s">
        <v>7</v>
      </c>
      <c r="F54">
        <v>2017</v>
      </c>
      <c r="H54" t="str">
        <f>PROPER(tabledata[[#This Row],[nama_provinsi]])</f>
        <v>Nusa Tenggara Timur</v>
      </c>
    </row>
    <row r="55" spans="1:8" x14ac:dyDescent="0.35">
      <c r="A55">
        <v>54</v>
      </c>
      <c r="B55">
        <v>61</v>
      </c>
      <c r="C55" t="s">
        <v>26</v>
      </c>
      <c r="D55">
        <v>35984.53</v>
      </c>
      <c r="E55" t="s">
        <v>7</v>
      </c>
      <c r="F55">
        <v>2017</v>
      </c>
      <c r="H55" t="str">
        <f>PROPER(tabledata[[#This Row],[nama_provinsi]])</f>
        <v>Kalimantan Barat</v>
      </c>
    </row>
    <row r="56" spans="1:8" x14ac:dyDescent="0.35">
      <c r="A56">
        <v>55</v>
      </c>
      <c r="B56">
        <v>62</v>
      </c>
      <c r="C56" t="s">
        <v>27</v>
      </c>
      <c r="D56">
        <v>48293.22</v>
      </c>
      <c r="E56" t="s">
        <v>7</v>
      </c>
      <c r="F56">
        <v>2017</v>
      </c>
      <c r="H56" t="str">
        <f>PROPER(tabledata[[#This Row],[nama_provinsi]])</f>
        <v>Kalimantan Tengah</v>
      </c>
    </row>
    <row r="57" spans="1:8" x14ac:dyDescent="0.35">
      <c r="A57">
        <v>56</v>
      </c>
      <c r="B57">
        <v>63</v>
      </c>
      <c r="C57" t="s">
        <v>28</v>
      </c>
      <c r="D57">
        <v>38619.54</v>
      </c>
      <c r="E57" t="s">
        <v>7</v>
      </c>
      <c r="F57">
        <v>2017</v>
      </c>
      <c r="H57" t="str">
        <f>PROPER(tabledata[[#This Row],[nama_provinsi]])</f>
        <v>Kalimantan Selatan</v>
      </c>
    </row>
    <row r="58" spans="1:8" x14ac:dyDescent="0.35">
      <c r="A58">
        <v>57</v>
      </c>
      <c r="B58">
        <v>64</v>
      </c>
      <c r="C58" t="s">
        <v>29</v>
      </c>
      <c r="D58">
        <v>165546.62</v>
      </c>
      <c r="E58" t="s">
        <v>7</v>
      </c>
      <c r="F58">
        <v>2017</v>
      </c>
      <c r="H58" t="str">
        <f>PROPER(tabledata[[#This Row],[nama_provinsi]])</f>
        <v>Kalimantan Timur</v>
      </c>
    </row>
    <row r="59" spans="1:8" x14ac:dyDescent="0.35">
      <c r="A59">
        <v>58</v>
      </c>
      <c r="B59">
        <v>65</v>
      </c>
      <c r="C59" t="s">
        <v>30</v>
      </c>
      <c r="D59">
        <v>111318.54</v>
      </c>
      <c r="E59" t="s">
        <v>7</v>
      </c>
      <c r="F59">
        <v>2017</v>
      </c>
      <c r="H59" t="str">
        <f>PROPER(tabledata[[#This Row],[nama_provinsi]])</f>
        <v>Kalimantan Utara</v>
      </c>
    </row>
    <row r="60" spans="1:8" x14ac:dyDescent="0.35">
      <c r="A60">
        <v>59</v>
      </c>
      <c r="B60">
        <v>71</v>
      </c>
      <c r="C60" t="s">
        <v>31</v>
      </c>
      <c r="D60">
        <v>44744.2</v>
      </c>
      <c r="E60" t="s">
        <v>7</v>
      </c>
      <c r="F60">
        <v>2017</v>
      </c>
      <c r="H60" t="str">
        <f>PROPER(tabledata[[#This Row],[nama_provinsi]])</f>
        <v>Sulawesi Utara</v>
      </c>
    </row>
    <row r="61" spans="1:8" x14ac:dyDescent="0.35">
      <c r="A61">
        <v>60</v>
      </c>
      <c r="B61">
        <v>72</v>
      </c>
      <c r="C61" t="s">
        <v>32</v>
      </c>
      <c r="D61">
        <v>45157.279999999999</v>
      </c>
      <c r="E61" t="s">
        <v>7</v>
      </c>
      <c r="F61">
        <v>2017</v>
      </c>
      <c r="H61" t="str">
        <f>PROPER(tabledata[[#This Row],[nama_provinsi]])</f>
        <v>Sulawesi Tengah</v>
      </c>
    </row>
    <row r="62" spans="1:8" x14ac:dyDescent="0.35">
      <c r="A62">
        <v>61</v>
      </c>
      <c r="B62">
        <v>73</v>
      </c>
      <c r="C62" t="s">
        <v>33</v>
      </c>
      <c r="D62">
        <v>47822.11</v>
      </c>
      <c r="E62" t="s">
        <v>7</v>
      </c>
      <c r="F62">
        <v>2017</v>
      </c>
      <c r="H62" t="str">
        <f>PROPER(tabledata[[#This Row],[nama_provinsi]])</f>
        <v>Sulawesi Selatan</v>
      </c>
    </row>
    <row r="63" spans="1:8" x14ac:dyDescent="0.35">
      <c r="A63">
        <v>62</v>
      </c>
      <c r="B63">
        <v>74</v>
      </c>
      <c r="C63" t="s">
        <v>34</v>
      </c>
      <c r="D63">
        <v>41278.78</v>
      </c>
      <c r="E63" t="s">
        <v>7</v>
      </c>
      <c r="F63">
        <v>2017</v>
      </c>
      <c r="H63" t="str">
        <f>PROPER(tabledata[[#This Row],[nama_provinsi]])</f>
        <v>Sulawesi Tenggara</v>
      </c>
    </row>
    <row r="64" spans="1:8" x14ac:dyDescent="0.35">
      <c r="A64">
        <v>63</v>
      </c>
      <c r="B64">
        <v>75</v>
      </c>
      <c r="C64" t="s">
        <v>35</v>
      </c>
      <c r="D64">
        <v>29565.119999999999</v>
      </c>
      <c r="E64" t="s">
        <v>7</v>
      </c>
      <c r="F64">
        <v>2017</v>
      </c>
      <c r="H64" t="str">
        <f>PROPER(tabledata[[#This Row],[nama_provinsi]])</f>
        <v>Gorontalo</v>
      </c>
    </row>
    <row r="65" spans="1:8" x14ac:dyDescent="0.35">
      <c r="A65">
        <v>64</v>
      </c>
      <c r="B65">
        <v>76</v>
      </c>
      <c r="C65" t="s">
        <v>36</v>
      </c>
      <c r="D65">
        <v>29675.86</v>
      </c>
      <c r="E65" t="s">
        <v>7</v>
      </c>
      <c r="F65">
        <v>2017</v>
      </c>
      <c r="H65" t="str">
        <f>PROPER(tabledata[[#This Row],[nama_provinsi]])</f>
        <v>Sulawesi Barat</v>
      </c>
    </row>
    <row r="66" spans="1:8" x14ac:dyDescent="0.35">
      <c r="A66">
        <v>65</v>
      </c>
      <c r="B66">
        <v>81</v>
      </c>
      <c r="C66" t="s">
        <v>37</v>
      </c>
      <c r="D66">
        <v>22859.29</v>
      </c>
      <c r="E66" t="s">
        <v>7</v>
      </c>
      <c r="F66">
        <v>2017</v>
      </c>
      <c r="H66" t="str">
        <f>PROPER(tabledata[[#This Row],[nama_provinsi]])</f>
        <v>Maluku</v>
      </c>
    </row>
    <row r="67" spans="1:8" x14ac:dyDescent="0.35">
      <c r="A67">
        <v>66</v>
      </c>
      <c r="B67">
        <v>82</v>
      </c>
      <c r="C67" t="s">
        <v>38</v>
      </c>
      <c r="D67">
        <v>26686.06</v>
      </c>
      <c r="E67" t="s">
        <v>7</v>
      </c>
      <c r="F67">
        <v>2017</v>
      </c>
      <c r="H67" t="str">
        <f>PROPER(tabledata[[#This Row],[nama_provinsi]])</f>
        <v>Maluku Utara</v>
      </c>
    </row>
    <row r="68" spans="1:8" x14ac:dyDescent="0.35">
      <c r="A68">
        <v>67</v>
      </c>
      <c r="B68">
        <v>91</v>
      </c>
      <c r="C68" t="s">
        <v>39</v>
      </c>
      <c r="D68">
        <v>78423.63</v>
      </c>
      <c r="E68" t="s">
        <v>7</v>
      </c>
      <c r="F68">
        <v>2017</v>
      </c>
      <c r="H68" t="str">
        <f>PROPER(tabledata[[#This Row],[nama_provinsi]])</f>
        <v>Papua Barat</v>
      </c>
    </row>
    <row r="69" spans="1:8" x14ac:dyDescent="0.35">
      <c r="A69">
        <v>68</v>
      </c>
      <c r="B69">
        <v>94</v>
      </c>
      <c r="C69" t="s">
        <v>40</v>
      </c>
      <c r="D69">
        <v>57864.13</v>
      </c>
      <c r="E69" t="s">
        <v>7</v>
      </c>
      <c r="F69">
        <v>2017</v>
      </c>
      <c r="H69" t="str">
        <f>PROPER(tabledata[[#This Row],[nama_provinsi]])</f>
        <v>Papua</v>
      </c>
    </row>
    <row r="70" spans="1:8" x14ac:dyDescent="0.35">
      <c r="A70" s="1">
        <v>69</v>
      </c>
      <c r="B70" s="1">
        <v>11</v>
      </c>
      <c r="C70" s="1" t="s">
        <v>6</v>
      </c>
      <c r="D70" s="1">
        <v>29521.25</v>
      </c>
      <c r="E70" s="1" t="s">
        <v>7</v>
      </c>
      <c r="F70" s="1">
        <v>2018</v>
      </c>
    </row>
    <row r="71" spans="1:8" x14ac:dyDescent="0.35">
      <c r="A71">
        <v>70</v>
      </c>
      <c r="B71">
        <v>12</v>
      </c>
      <c r="C71" t="s">
        <v>8</v>
      </c>
      <c r="D71">
        <v>51427.49</v>
      </c>
      <c r="E71" t="s">
        <v>7</v>
      </c>
      <c r="F71">
        <v>2018</v>
      </c>
    </row>
    <row r="72" spans="1:8" x14ac:dyDescent="0.35">
      <c r="A72">
        <v>71</v>
      </c>
      <c r="B72">
        <v>13</v>
      </c>
      <c r="C72" t="s">
        <v>9</v>
      </c>
      <c r="D72">
        <v>42802.66</v>
      </c>
      <c r="E72" t="s">
        <v>7</v>
      </c>
      <c r="F72">
        <v>2018</v>
      </c>
    </row>
    <row r="73" spans="1:8" x14ac:dyDescent="0.35">
      <c r="A73">
        <v>72</v>
      </c>
      <c r="B73">
        <v>14</v>
      </c>
      <c r="C73" t="s">
        <v>10</v>
      </c>
      <c r="D73">
        <v>110384.9</v>
      </c>
      <c r="E73" t="s">
        <v>7</v>
      </c>
      <c r="F73">
        <v>2018</v>
      </c>
    </row>
    <row r="74" spans="1:8" x14ac:dyDescent="0.35">
      <c r="A74">
        <v>73</v>
      </c>
      <c r="B74">
        <v>15</v>
      </c>
      <c r="C74" t="s">
        <v>11</v>
      </c>
      <c r="D74">
        <v>58224.89</v>
      </c>
      <c r="E74" t="s">
        <v>7</v>
      </c>
      <c r="F74">
        <v>2018</v>
      </c>
    </row>
    <row r="75" spans="1:8" x14ac:dyDescent="0.35">
      <c r="A75">
        <v>74</v>
      </c>
      <c r="B75">
        <v>16</v>
      </c>
      <c r="C75" t="s">
        <v>12</v>
      </c>
      <c r="D75">
        <v>50104.67</v>
      </c>
      <c r="E75" t="s">
        <v>7</v>
      </c>
      <c r="F75">
        <v>2018</v>
      </c>
    </row>
    <row r="76" spans="1:8" x14ac:dyDescent="0.35">
      <c r="A76">
        <v>75</v>
      </c>
      <c r="B76">
        <v>17</v>
      </c>
      <c r="C76" t="s">
        <v>13</v>
      </c>
      <c r="D76">
        <v>33822.129999999997</v>
      </c>
      <c r="E76" t="s">
        <v>7</v>
      </c>
      <c r="F76">
        <v>2018</v>
      </c>
    </row>
    <row r="77" spans="1:8" x14ac:dyDescent="0.35">
      <c r="A77">
        <v>76</v>
      </c>
      <c r="B77">
        <v>18</v>
      </c>
      <c r="C77" t="s">
        <v>14</v>
      </c>
      <c r="D77">
        <v>39716.46</v>
      </c>
      <c r="E77" t="s">
        <v>7</v>
      </c>
      <c r="F77">
        <v>2018</v>
      </c>
    </row>
    <row r="78" spans="1:8" x14ac:dyDescent="0.35">
      <c r="A78">
        <v>77</v>
      </c>
      <c r="B78">
        <v>19</v>
      </c>
      <c r="C78" t="s">
        <v>15</v>
      </c>
      <c r="D78">
        <v>50081.95</v>
      </c>
      <c r="E78" t="s">
        <v>7</v>
      </c>
      <c r="F78">
        <v>2018</v>
      </c>
    </row>
    <row r="79" spans="1:8" x14ac:dyDescent="0.35">
      <c r="A79">
        <v>78</v>
      </c>
      <c r="B79">
        <v>21</v>
      </c>
      <c r="C79" t="s">
        <v>16</v>
      </c>
      <c r="D79">
        <v>116461.4</v>
      </c>
      <c r="E79" t="s">
        <v>7</v>
      </c>
      <c r="F79">
        <v>2018</v>
      </c>
    </row>
    <row r="80" spans="1:8" x14ac:dyDescent="0.35">
      <c r="A80">
        <v>79</v>
      </c>
      <c r="B80">
        <v>31</v>
      </c>
      <c r="C80" t="s">
        <v>17</v>
      </c>
      <c r="D80">
        <v>247678.49</v>
      </c>
      <c r="E80" t="s">
        <v>7</v>
      </c>
      <c r="F80">
        <v>2018</v>
      </c>
    </row>
    <row r="81" spans="1:6" x14ac:dyDescent="0.35">
      <c r="A81">
        <v>80</v>
      </c>
      <c r="B81">
        <v>32</v>
      </c>
      <c r="C81" t="s">
        <v>18</v>
      </c>
      <c r="D81">
        <v>40272.639999999999</v>
      </c>
      <c r="E81" t="s">
        <v>7</v>
      </c>
      <c r="F81">
        <v>2018</v>
      </c>
    </row>
    <row r="82" spans="1:6" x14ac:dyDescent="0.35">
      <c r="A82">
        <v>81</v>
      </c>
      <c r="B82">
        <v>33</v>
      </c>
      <c r="C82" t="s">
        <v>19</v>
      </c>
      <c r="D82">
        <v>36770.959999999999</v>
      </c>
      <c r="E82" t="s">
        <v>7</v>
      </c>
      <c r="F82">
        <v>2018</v>
      </c>
    </row>
    <row r="83" spans="1:6" x14ac:dyDescent="0.35">
      <c r="A83">
        <v>82</v>
      </c>
      <c r="B83">
        <v>34</v>
      </c>
      <c r="C83" t="s">
        <v>20</v>
      </c>
      <c r="D83">
        <v>34136.93</v>
      </c>
      <c r="E83" t="s">
        <v>7</v>
      </c>
      <c r="F83">
        <v>2018</v>
      </c>
    </row>
    <row r="84" spans="1:6" x14ac:dyDescent="0.35">
      <c r="A84">
        <v>83</v>
      </c>
      <c r="B84">
        <v>35</v>
      </c>
      <c r="C84" t="s">
        <v>21</v>
      </c>
      <c r="D84">
        <v>55410.61</v>
      </c>
      <c r="E84" t="s">
        <v>7</v>
      </c>
      <c r="F84">
        <v>2018</v>
      </c>
    </row>
    <row r="85" spans="1:6" x14ac:dyDescent="0.35">
      <c r="A85">
        <v>84</v>
      </c>
      <c r="B85">
        <v>36</v>
      </c>
      <c r="C85" t="s">
        <v>22</v>
      </c>
      <c r="D85">
        <v>48370.15</v>
      </c>
      <c r="E85" t="s">
        <v>7</v>
      </c>
      <c r="F85">
        <v>2018</v>
      </c>
    </row>
    <row r="86" spans="1:6" x14ac:dyDescent="0.35">
      <c r="A86">
        <v>85</v>
      </c>
      <c r="B86">
        <v>51</v>
      </c>
      <c r="C86" t="s">
        <v>23</v>
      </c>
      <c r="D86">
        <v>54433.46</v>
      </c>
      <c r="E86" t="s">
        <v>7</v>
      </c>
      <c r="F86">
        <v>2018</v>
      </c>
    </row>
    <row r="87" spans="1:6" x14ac:dyDescent="0.35">
      <c r="A87">
        <v>86</v>
      </c>
      <c r="B87">
        <v>52</v>
      </c>
      <c r="C87" t="s">
        <v>24</v>
      </c>
      <c r="D87">
        <v>24705.97</v>
      </c>
      <c r="E87" t="s">
        <v>7</v>
      </c>
      <c r="F87">
        <v>2018</v>
      </c>
    </row>
    <row r="88" spans="1:6" x14ac:dyDescent="0.35">
      <c r="A88">
        <v>87</v>
      </c>
      <c r="B88">
        <v>53</v>
      </c>
      <c r="C88" t="s">
        <v>25</v>
      </c>
      <c r="D88">
        <v>18417.54</v>
      </c>
      <c r="E88" t="s">
        <v>7</v>
      </c>
      <c r="F88">
        <v>2018</v>
      </c>
    </row>
    <row r="89" spans="1:6" x14ac:dyDescent="0.35">
      <c r="A89">
        <v>88</v>
      </c>
      <c r="B89">
        <v>61</v>
      </c>
      <c r="C89" t="s">
        <v>26</v>
      </c>
      <c r="D89">
        <v>38814.730000000003</v>
      </c>
      <c r="E89" t="s">
        <v>7</v>
      </c>
      <c r="F89">
        <v>2018</v>
      </c>
    </row>
    <row r="90" spans="1:6" x14ac:dyDescent="0.35">
      <c r="A90">
        <v>89</v>
      </c>
      <c r="B90">
        <v>62</v>
      </c>
      <c r="C90" t="s">
        <v>27</v>
      </c>
      <c r="D90">
        <v>52107.23</v>
      </c>
      <c r="E90" t="s">
        <v>7</v>
      </c>
      <c r="F90">
        <v>2018</v>
      </c>
    </row>
    <row r="91" spans="1:6" x14ac:dyDescent="0.35">
      <c r="A91">
        <v>90</v>
      </c>
      <c r="B91">
        <v>63</v>
      </c>
      <c r="C91" t="s">
        <v>28</v>
      </c>
      <c r="D91">
        <v>41046.28</v>
      </c>
      <c r="E91" t="s">
        <v>7</v>
      </c>
      <c r="F91">
        <v>2018</v>
      </c>
    </row>
    <row r="92" spans="1:6" x14ac:dyDescent="0.35">
      <c r="A92">
        <v>91</v>
      </c>
      <c r="B92">
        <v>64</v>
      </c>
      <c r="C92" t="s">
        <v>29</v>
      </c>
      <c r="D92">
        <v>174164.82</v>
      </c>
      <c r="E92" t="s">
        <v>7</v>
      </c>
      <c r="F92">
        <v>2018</v>
      </c>
    </row>
    <row r="93" spans="1:6" x14ac:dyDescent="0.35">
      <c r="A93">
        <v>92</v>
      </c>
      <c r="B93">
        <v>65</v>
      </c>
      <c r="C93" t="s">
        <v>30</v>
      </c>
      <c r="D93">
        <v>119413.88</v>
      </c>
      <c r="E93" t="s">
        <v>7</v>
      </c>
      <c r="F93">
        <v>2018</v>
      </c>
    </row>
    <row r="94" spans="1:6" x14ac:dyDescent="0.35">
      <c r="A94">
        <v>93</v>
      </c>
      <c r="B94">
        <v>71</v>
      </c>
      <c r="C94" t="s">
        <v>31</v>
      </c>
      <c r="D94">
        <v>48105.41</v>
      </c>
      <c r="E94" t="s">
        <v>7</v>
      </c>
      <c r="F94">
        <v>2018</v>
      </c>
    </row>
    <row r="95" spans="1:6" x14ac:dyDescent="0.35">
      <c r="A95">
        <v>94</v>
      </c>
      <c r="B95">
        <v>72</v>
      </c>
      <c r="C95" t="s">
        <v>32</v>
      </c>
      <c r="D95">
        <v>55518.66</v>
      </c>
      <c r="E95" t="s">
        <v>7</v>
      </c>
      <c r="F95">
        <v>2018</v>
      </c>
    </row>
    <row r="96" spans="1:6" x14ac:dyDescent="0.35">
      <c r="A96">
        <v>95</v>
      </c>
      <c r="B96">
        <v>73</v>
      </c>
      <c r="C96" t="s">
        <v>33</v>
      </c>
      <c r="D96">
        <v>52642.080000000002</v>
      </c>
      <c r="E96" t="s">
        <v>7</v>
      </c>
      <c r="F96">
        <v>2018</v>
      </c>
    </row>
    <row r="97" spans="1:6" x14ac:dyDescent="0.35">
      <c r="A97">
        <v>96</v>
      </c>
      <c r="B97">
        <v>74</v>
      </c>
      <c r="C97" t="s">
        <v>34</v>
      </c>
      <c r="D97">
        <v>44492.09</v>
      </c>
      <c r="E97" t="s">
        <v>7</v>
      </c>
      <c r="F97">
        <v>2018</v>
      </c>
    </row>
    <row r="98" spans="1:6" x14ac:dyDescent="0.35">
      <c r="A98">
        <v>97</v>
      </c>
      <c r="B98">
        <v>75</v>
      </c>
      <c r="C98" t="s">
        <v>35</v>
      </c>
      <c r="D98">
        <v>31827.62</v>
      </c>
      <c r="E98" t="s">
        <v>7</v>
      </c>
      <c r="F98">
        <v>2018</v>
      </c>
    </row>
    <row r="99" spans="1:6" x14ac:dyDescent="0.35">
      <c r="A99">
        <v>98</v>
      </c>
      <c r="B99">
        <v>76</v>
      </c>
      <c r="C99" t="s">
        <v>36</v>
      </c>
      <c r="D99">
        <v>32059.09</v>
      </c>
      <c r="E99" t="s">
        <v>7</v>
      </c>
      <c r="F99">
        <v>2018</v>
      </c>
    </row>
    <row r="100" spans="1:6" x14ac:dyDescent="0.35">
      <c r="A100">
        <v>99</v>
      </c>
      <c r="B100">
        <v>81</v>
      </c>
      <c r="C100" t="s">
        <v>37</v>
      </c>
      <c r="D100">
        <v>24268.62</v>
      </c>
      <c r="E100" t="s">
        <v>7</v>
      </c>
      <c r="F100">
        <v>2018</v>
      </c>
    </row>
    <row r="101" spans="1:6" x14ac:dyDescent="0.35">
      <c r="A101">
        <v>100</v>
      </c>
      <c r="B101">
        <v>82</v>
      </c>
      <c r="C101" t="s">
        <v>38</v>
      </c>
      <c r="D101">
        <v>29586.12</v>
      </c>
      <c r="E101" t="s">
        <v>7</v>
      </c>
      <c r="F101">
        <v>2018</v>
      </c>
    </row>
    <row r="102" spans="1:6" x14ac:dyDescent="0.35">
      <c r="A102">
        <v>101</v>
      </c>
      <c r="B102">
        <v>91</v>
      </c>
      <c r="C102" t="s">
        <v>39</v>
      </c>
      <c r="D102">
        <v>84958.03</v>
      </c>
      <c r="E102" t="s">
        <v>7</v>
      </c>
      <c r="F102">
        <v>2018</v>
      </c>
    </row>
    <row r="103" spans="1:6" x14ac:dyDescent="0.35">
      <c r="A103">
        <v>102</v>
      </c>
      <c r="B103">
        <v>94</v>
      </c>
      <c r="C103" t="s">
        <v>40</v>
      </c>
      <c r="D103">
        <v>63385.68</v>
      </c>
      <c r="E103" t="s">
        <v>7</v>
      </c>
      <c r="F103">
        <v>2018</v>
      </c>
    </row>
    <row r="104" spans="1:6" x14ac:dyDescent="0.35">
      <c r="A104" s="1">
        <v>103</v>
      </c>
      <c r="B104" s="1">
        <v>11</v>
      </c>
      <c r="C104" s="1" t="s">
        <v>6</v>
      </c>
      <c r="D104" s="1">
        <v>30879.06</v>
      </c>
      <c r="E104" s="1" t="s">
        <v>7</v>
      </c>
      <c r="F104" s="1">
        <v>2019</v>
      </c>
    </row>
    <row r="105" spans="1:6" x14ac:dyDescent="0.35">
      <c r="A105">
        <v>104</v>
      </c>
      <c r="B105">
        <v>12</v>
      </c>
      <c r="C105" t="s">
        <v>8</v>
      </c>
      <c r="D105">
        <v>54620.4</v>
      </c>
      <c r="E105" t="s">
        <v>7</v>
      </c>
      <c r="F105">
        <v>2019</v>
      </c>
    </row>
    <row r="106" spans="1:6" x14ac:dyDescent="0.35">
      <c r="A106">
        <v>105</v>
      </c>
      <c r="B106">
        <v>13</v>
      </c>
      <c r="C106" t="s">
        <v>9</v>
      </c>
      <c r="D106">
        <v>44885.51</v>
      </c>
      <c r="E106" t="s">
        <v>7</v>
      </c>
      <c r="F106">
        <v>2019</v>
      </c>
    </row>
    <row r="107" spans="1:6" x14ac:dyDescent="0.35">
      <c r="A107">
        <v>106</v>
      </c>
      <c r="B107">
        <v>14</v>
      </c>
      <c r="C107" t="s">
        <v>10</v>
      </c>
      <c r="D107">
        <v>111227.01</v>
      </c>
      <c r="E107" t="s">
        <v>7</v>
      </c>
      <c r="F107">
        <v>2019</v>
      </c>
    </row>
    <row r="108" spans="1:6" x14ac:dyDescent="0.35">
      <c r="A108">
        <v>107</v>
      </c>
      <c r="B108">
        <v>15</v>
      </c>
      <c r="C108" t="s">
        <v>11</v>
      </c>
      <c r="D108">
        <v>60828.86</v>
      </c>
      <c r="E108" t="s">
        <v>7</v>
      </c>
      <c r="F108">
        <v>2019</v>
      </c>
    </row>
    <row r="109" spans="1:6" x14ac:dyDescent="0.35">
      <c r="A109">
        <v>108</v>
      </c>
      <c r="B109">
        <v>16</v>
      </c>
      <c r="C109" t="s">
        <v>12</v>
      </c>
      <c r="D109">
        <v>53359.1</v>
      </c>
      <c r="E109" t="s">
        <v>7</v>
      </c>
      <c r="F109">
        <v>2019</v>
      </c>
    </row>
    <row r="110" spans="1:6" x14ac:dyDescent="0.35">
      <c r="A110">
        <v>109</v>
      </c>
      <c r="B110">
        <v>17</v>
      </c>
      <c r="C110" t="s">
        <v>13</v>
      </c>
      <c r="D110">
        <v>36565.29</v>
      </c>
      <c r="E110" t="s">
        <v>7</v>
      </c>
      <c r="F110">
        <v>2019</v>
      </c>
    </row>
    <row r="111" spans="1:6" x14ac:dyDescent="0.35">
      <c r="A111">
        <v>110</v>
      </c>
      <c r="B111">
        <v>18</v>
      </c>
      <c r="C111" t="s">
        <v>14</v>
      </c>
      <c r="D111">
        <v>42172.32</v>
      </c>
      <c r="E111" t="s">
        <v>7</v>
      </c>
      <c r="F111">
        <v>2019</v>
      </c>
    </row>
    <row r="112" spans="1:6" x14ac:dyDescent="0.35">
      <c r="A112">
        <v>111</v>
      </c>
      <c r="B112">
        <v>19</v>
      </c>
      <c r="C112" t="s">
        <v>15</v>
      </c>
      <c r="D112">
        <v>52232.800000000003</v>
      </c>
      <c r="E112" t="s">
        <v>7</v>
      </c>
      <c r="F112">
        <v>2019</v>
      </c>
    </row>
    <row r="113" spans="1:6" x14ac:dyDescent="0.35">
      <c r="A113">
        <v>112</v>
      </c>
      <c r="B113">
        <v>21</v>
      </c>
      <c r="C113" t="s">
        <v>16</v>
      </c>
      <c r="D113">
        <v>119394.66</v>
      </c>
      <c r="E113" t="s">
        <v>7</v>
      </c>
      <c r="F113">
        <v>2019</v>
      </c>
    </row>
    <row r="114" spans="1:6" x14ac:dyDescent="0.35">
      <c r="A114">
        <v>113</v>
      </c>
      <c r="B114">
        <v>31</v>
      </c>
      <c r="C114" t="s">
        <v>17</v>
      </c>
      <c r="D114">
        <v>268052.25</v>
      </c>
      <c r="E114" t="s">
        <v>7</v>
      </c>
      <c r="F114">
        <v>2019</v>
      </c>
    </row>
    <row r="115" spans="1:6" x14ac:dyDescent="0.35">
      <c r="A115">
        <v>114</v>
      </c>
      <c r="B115">
        <v>32</v>
      </c>
      <c r="C115" t="s">
        <v>18</v>
      </c>
      <c r="D115">
        <v>43309.19</v>
      </c>
      <c r="E115" t="s">
        <v>7</v>
      </c>
      <c r="F115">
        <v>2019</v>
      </c>
    </row>
    <row r="116" spans="1:6" x14ac:dyDescent="0.35">
      <c r="A116">
        <v>115</v>
      </c>
      <c r="B116">
        <v>33</v>
      </c>
      <c r="C116" t="s">
        <v>19</v>
      </c>
      <c r="D116">
        <v>39388.15</v>
      </c>
      <c r="E116" t="s">
        <v>7</v>
      </c>
      <c r="F116">
        <v>2019</v>
      </c>
    </row>
    <row r="117" spans="1:6" x14ac:dyDescent="0.35">
      <c r="A117">
        <v>116</v>
      </c>
      <c r="B117">
        <v>34</v>
      </c>
      <c r="C117" t="s">
        <v>20</v>
      </c>
      <c r="D117">
        <v>36459.730000000003</v>
      </c>
      <c r="E117" t="s">
        <v>7</v>
      </c>
      <c r="F117">
        <v>2019</v>
      </c>
    </row>
    <row r="118" spans="1:6" x14ac:dyDescent="0.35">
      <c r="A118">
        <v>117</v>
      </c>
      <c r="B118">
        <v>35</v>
      </c>
      <c r="C118" t="s">
        <v>21</v>
      </c>
      <c r="D118">
        <v>59015.17</v>
      </c>
      <c r="E118" t="s">
        <v>7</v>
      </c>
      <c r="F118">
        <v>2019</v>
      </c>
    </row>
    <row r="119" spans="1:6" x14ac:dyDescent="0.35">
      <c r="A119">
        <v>118</v>
      </c>
      <c r="B119">
        <v>36</v>
      </c>
      <c r="C119" t="s">
        <v>22</v>
      </c>
      <c r="D119">
        <v>52013.99</v>
      </c>
      <c r="E119" t="s">
        <v>7</v>
      </c>
      <c r="F119">
        <v>2019</v>
      </c>
    </row>
    <row r="120" spans="1:6" x14ac:dyDescent="0.35">
      <c r="A120">
        <v>119</v>
      </c>
      <c r="B120">
        <v>51</v>
      </c>
      <c r="C120" t="s">
        <v>23</v>
      </c>
      <c r="D120">
        <v>57755.96</v>
      </c>
      <c r="E120" t="s">
        <v>7</v>
      </c>
      <c r="F120">
        <v>2019</v>
      </c>
    </row>
    <row r="121" spans="1:6" x14ac:dyDescent="0.35">
      <c r="A121">
        <v>120</v>
      </c>
      <c r="B121">
        <v>52</v>
      </c>
      <c r="C121" t="s">
        <v>24</v>
      </c>
      <c r="D121">
        <v>25716.11</v>
      </c>
      <c r="E121" t="s">
        <v>7</v>
      </c>
      <c r="F121">
        <v>2019</v>
      </c>
    </row>
    <row r="122" spans="1:6" x14ac:dyDescent="0.35">
      <c r="A122">
        <v>121</v>
      </c>
      <c r="B122">
        <v>53</v>
      </c>
      <c r="C122" t="s">
        <v>25</v>
      </c>
      <c r="D122">
        <v>19630.02</v>
      </c>
      <c r="E122" t="s">
        <v>7</v>
      </c>
      <c r="F122">
        <v>2019</v>
      </c>
    </row>
    <row r="123" spans="1:6" x14ac:dyDescent="0.35">
      <c r="A123">
        <v>122</v>
      </c>
      <c r="B123">
        <v>61</v>
      </c>
      <c r="C123" t="s">
        <v>26</v>
      </c>
      <c r="D123">
        <v>42045.41</v>
      </c>
      <c r="E123" t="s">
        <v>7</v>
      </c>
      <c r="F123">
        <v>2019</v>
      </c>
    </row>
    <row r="124" spans="1:6" x14ac:dyDescent="0.35">
      <c r="A124">
        <v>123</v>
      </c>
      <c r="B124">
        <v>62</v>
      </c>
      <c r="C124" t="s">
        <v>27</v>
      </c>
      <c r="D124">
        <v>56625.38</v>
      </c>
      <c r="E124" t="s">
        <v>7</v>
      </c>
      <c r="F124">
        <v>2019</v>
      </c>
    </row>
    <row r="125" spans="1:6" x14ac:dyDescent="0.35">
      <c r="A125">
        <v>124</v>
      </c>
      <c r="B125">
        <v>63</v>
      </c>
      <c r="C125" t="s">
        <v>28</v>
      </c>
      <c r="D125">
        <v>42823.56</v>
      </c>
      <c r="E125" t="s">
        <v>7</v>
      </c>
      <c r="F125">
        <v>2019</v>
      </c>
    </row>
    <row r="126" spans="1:6" x14ac:dyDescent="0.35">
      <c r="A126">
        <v>125</v>
      </c>
      <c r="B126">
        <v>64</v>
      </c>
      <c r="C126" t="s">
        <v>29</v>
      </c>
      <c r="D126">
        <v>180259.1</v>
      </c>
      <c r="E126" t="s">
        <v>7</v>
      </c>
      <c r="F126">
        <v>2019</v>
      </c>
    </row>
    <row r="127" spans="1:6" x14ac:dyDescent="0.35">
      <c r="A127">
        <v>126</v>
      </c>
      <c r="B127">
        <v>65</v>
      </c>
      <c r="C127" t="s">
        <v>30</v>
      </c>
      <c r="D127">
        <v>138751.01</v>
      </c>
      <c r="E127" t="s">
        <v>7</v>
      </c>
      <c r="F127">
        <v>2019</v>
      </c>
    </row>
    <row r="128" spans="1:6" x14ac:dyDescent="0.35">
      <c r="A128">
        <v>127</v>
      </c>
      <c r="B128">
        <v>71</v>
      </c>
      <c r="C128" t="s">
        <v>31</v>
      </c>
      <c r="D128">
        <v>52173.02</v>
      </c>
      <c r="E128" t="s">
        <v>7</v>
      </c>
      <c r="F128">
        <v>2019</v>
      </c>
    </row>
    <row r="129" spans="1:6" x14ac:dyDescent="0.35">
      <c r="A129">
        <v>128</v>
      </c>
      <c r="B129">
        <v>72</v>
      </c>
      <c r="C129" t="s">
        <v>32</v>
      </c>
      <c r="D129">
        <v>61056.03</v>
      </c>
      <c r="E129" t="s">
        <v>7</v>
      </c>
      <c r="F129">
        <v>2019</v>
      </c>
    </row>
    <row r="130" spans="1:6" x14ac:dyDescent="0.35">
      <c r="A130">
        <v>129</v>
      </c>
      <c r="B130">
        <v>73</v>
      </c>
      <c r="C130" t="s">
        <v>33</v>
      </c>
      <c r="D130">
        <v>57182.14</v>
      </c>
      <c r="E130" t="s">
        <v>7</v>
      </c>
      <c r="F130">
        <v>2019</v>
      </c>
    </row>
    <row r="131" spans="1:6" x14ac:dyDescent="0.35">
      <c r="A131">
        <v>130</v>
      </c>
      <c r="B131">
        <v>74</v>
      </c>
      <c r="C131" t="s">
        <v>34</v>
      </c>
      <c r="D131">
        <v>48514.15</v>
      </c>
      <c r="E131" t="s">
        <v>7</v>
      </c>
      <c r="F131">
        <v>2019</v>
      </c>
    </row>
    <row r="132" spans="1:6" x14ac:dyDescent="0.35">
      <c r="A132">
        <v>131</v>
      </c>
      <c r="B132">
        <v>75</v>
      </c>
      <c r="C132" t="s">
        <v>35</v>
      </c>
      <c r="D132">
        <v>34976.65</v>
      </c>
      <c r="E132" t="s">
        <v>7</v>
      </c>
      <c r="F132">
        <v>2019</v>
      </c>
    </row>
    <row r="133" spans="1:6" x14ac:dyDescent="0.35">
      <c r="A133">
        <v>132</v>
      </c>
      <c r="B133">
        <v>76</v>
      </c>
      <c r="C133" t="s">
        <v>36</v>
      </c>
      <c r="D133">
        <v>34111.83</v>
      </c>
      <c r="E133" t="s">
        <v>7</v>
      </c>
      <c r="F133">
        <v>2019</v>
      </c>
    </row>
    <row r="134" spans="1:6" x14ac:dyDescent="0.35">
      <c r="A134">
        <v>133</v>
      </c>
      <c r="B134">
        <v>81</v>
      </c>
      <c r="C134" t="s">
        <v>37</v>
      </c>
      <c r="D134">
        <v>26097.040000000001</v>
      </c>
      <c r="E134" t="s">
        <v>7</v>
      </c>
      <c r="F134">
        <v>2019</v>
      </c>
    </row>
    <row r="135" spans="1:6" x14ac:dyDescent="0.35">
      <c r="A135">
        <v>134</v>
      </c>
      <c r="B135">
        <v>82</v>
      </c>
      <c r="C135" t="s">
        <v>38</v>
      </c>
      <c r="D135">
        <v>32124.959999999999</v>
      </c>
      <c r="E135" t="s">
        <v>7</v>
      </c>
      <c r="F135">
        <v>2019</v>
      </c>
    </row>
    <row r="136" spans="1:6" x14ac:dyDescent="0.35">
      <c r="A136">
        <v>135</v>
      </c>
      <c r="B136">
        <v>91</v>
      </c>
      <c r="C136" t="s">
        <v>39</v>
      </c>
      <c r="D136">
        <v>87542.37</v>
      </c>
      <c r="E136" t="s">
        <v>7</v>
      </c>
      <c r="F136">
        <v>2019</v>
      </c>
    </row>
    <row r="137" spans="1:6" x14ac:dyDescent="0.35">
      <c r="A137">
        <v>136</v>
      </c>
      <c r="B137">
        <v>94</v>
      </c>
      <c r="C137" t="s">
        <v>40</v>
      </c>
      <c r="D137">
        <v>56618.95</v>
      </c>
      <c r="E137" t="s">
        <v>7</v>
      </c>
      <c r="F137">
        <v>2019</v>
      </c>
    </row>
    <row r="138" spans="1:6" x14ac:dyDescent="0.35">
      <c r="A138" s="1">
        <v>137</v>
      </c>
      <c r="B138" s="1">
        <v>11</v>
      </c>
      <c r="C138" s="1" t="s">
        <v>6</v>
      </c>
      <c r="D138" s="1">
        <v>31633.38</v>
      </c>
      <c r="E138" s="1" t="s">
        <v>7</v>
      </c>
      <c r="F138" s="1">
        <v>2020</v>
      </c>
    </row>
    <row r="139" spans="1:6" x14ac:dyDescent="0.35">
      <c r="A139">
        <v>138</v>
      </c>
      <c r="B139">
        <v>12</v>
      </c>
      <c r="C139" t="s">
        <v>8</v>
      </c>
      <c r="D139">
        <v>54979.040000000001</v>
      </c>
      <c r="E139" t="s">
        <v>7</v>
      </c>
      <c r="F139">
        <v>2020</v>
      </c>
    </row>
    <row r="140" spans="1:6" x14ac:dyDescent="0.35">
      <c r="A140">
        <v>139</v>
      </c>
      <c r="B140">
        <v>13</v>
      </c>
      <c r="C140" t="s">
        <v>9</v>
      </c>
      <c r="D140">
        <v>43825.66</v>
      </c>
      <c r="E140" t="s">
        <v>7</v>
      </c>
      <c r="F140">
        <v>2020</v>
      </c>
    </row>
    <row r="141" spans="1:6" x14ac:dyDescent="0.35">
      <c r="A141">
        <v>140</v>
      </c>
      <c r="B141">
        <v>14</v>
      </c>
      <c r="C141" t="s">
        <v>10</v>
      </c>
      <c r="D141">
        <v>114166.9</v>
      </c>
      <c r="E141" t="s">
        <v>7</v>
      </c>
      <c r="F141">
        <v>2020</v>
      </c>
    </row>
    <row r="142" spans="1:6" x14ac:dyDescent="0.35">
      <c r="A142">
        <v>141</v>
      </c>
      <c r="B142">
        <v>15</v>
      </c>
      <c r="C142" t="s">
        <v>11</v>
      </c>
      <c r="D142">
        <v>57957.73</v>
      </c>
      <c r="E142" t="s">
        <v>7</v>
      </c>
      <c r="F142">
        <v>2020</v>
      </c>
    </row>
    <row r="143" spans="1:6" x14ac:dyDescent="0.35">
      <c r="A143">
        <v>142</v>
      </c>
      <c r="B143">
        <v>16</v>
      </c>
      <c r="C143" t="s">
        <v>12</v>
      </c>
      <c r="D143">
        <v>53842.74</v>
      </c>
      <c r="E143" t="s">
        <v>7</v>
      </c>
      <c r="F143">
        <v>2020</v>
      </c>
    </row>
    <row r="144" spans="1:6" x14ac:dyDescent="0.35">
      <c r="A144">
        <v>143</v>
      </c>
      <c r="B144">
        <v>17</v>
      </c>
      <c r="C144" t="s">
        <v>13</v>
      </c>
      <c r="D144">
        <v>36552.5</v>
      </c>
      <c r="E144" t="s">
        <v>7</v>
      </c>
      <c r="F144">
        <v>2020</v>
      </c>
    </row>
    <row r="145" spans="1:6" x14ac:dyDescent="0.35">
      <c r="A145">
        <v>144</v>
      </c>
      <c r="B145">
        <v>18</v>
      </c>
      <c r="C145" t="s">
        <v>14</v>
      </c>
      <c r="D145">
        <v>39290.33</v>
      </c>
      <c r="E145" t="s">
        <v>7</v>
      </c>
      <c r="F145">
        <v>2020</v>
      </c>
    </row>
    <row r="146" spans="1:6" x14ac:dyDescent="0.35">
      <c r="A146">
        <v>145</v>
      </c>
      <c r="B146">
        <v>19</v>
      </c>
      <c r="C146" t="s">
        <v>15</v>
      </c>
      <c r="D146">
        <v>52023.4</v>
      </c>
      <c r="E146" t="s">
        <v>7</v>
      </c>
      <c r="F146">
        <v>2020</v>
      </c>
    </row>
    <row r="147" spans="1:6" x14ac:dyDescent="0.35">
      <c r="A147">
        <v>146</v>
      </c>
      <c r="B147">
        <v>21</v>
      </c>
      <c r="C147" t="s">
        <v>16</v>
      </c>
      <c r="D147">
        <v>123464.79</v>
      </c>
      <c r="E147" t="s">
        <v>7</v>
      </c>
      <c r="F147">
        <v>2020</v>
      </c>
    </row>
    <row r="148" spans="1:6" x14ac:dyDescent="0.35">
      <c r="A148">
        <v>147</v>
      </c>
      <c r="B148">
        <v>31</v>
      </c>
      <c r="C148" t="s">
        <v>17</v>
      </c>
      <c r="D148">
        <v>262615.17</v>
      </c>
      <c r="E148" t="s">
        <v>7</v>
      </c>
      <c r="F148">
        <v>2020</v>
      </c>
    </row>
    <row r="149" spans="1:6" x14ac:dyDescent="0.35">
      <c r="A149">
        <v>148</v>
      </c>
      <c r="B149">
        <v>32</v>
      </c>
      <c r="C149" t="s">
        <v>18</v>
      </c>
      <c r="D149">
        <v>43236.51</v>
      </c>
      <c r="E149" t="s">
        <v>7</v>
      </c>
      <c r="F149">
        <v>2020</v>
      </c>
    </row>
    <row r="150" spans="1:6" x14ac:dyDescent="0.35">
      <c r="A150">
        <v>149</v>
      </c>
      <c r="B150">
        <v>33</v>
      </c>
      <c r="C150" t="s">
        <v>19</v>
      </c>
      <c r="D150">
        <v>36964.78</v>
      </c>
      <c r="E150" t="s">
        <v>7</v>
      </c>
      <c r="F150">
        <v>2020</v>
      </c>
    </row>
    <row r="151" spans="1:6" x14ac:dyDescent="0.35">
      <c r="A151">
        <v>150</v>
      </c>
      <c r="B151">
        <v>34</v>
      </c>
      <c r="C151" t="s">
        <v>20</v>
      </c>
      <c r="D151">
        <v>37693.64</v>
      </c>
      <c r="E151" t="s">
        <v>7</v>
      </c>
      <c r="F151">
        <v>2020</v>
      </c>
    </row>
    <row r="152" spans="1:6" x14ac:dyDescent="0.35">
      <c r="A152">
        <v>151</v>
      </c>
      <c r="B152">
        <v>35</v>
      </c>
      <c r="C152" t="s">
        <v>21</v>
      </c>
      <c r="D152">
        <v>56640.82</v>
      </c>
      <c r="E152" t="s">
        <v>7</v>
      </c>
      <c r="F152">
        <v>2020</v>
      </c>
    </row>
    <row r="153" spans="1:6" x14ac:dyDescent="0.35">
      <c r="A153">
        <v>152</v>
      </c>
      <c r="B153">
        <v>36</v>
      </c>
      <c r="C153" t="s">
        <v>22</v>
      </c>
      <c r="D153">
        <v>52729.4</v>
      </c>
      <c r="E153" t="s">
        <v>7</v>
      </c>
      <c r="F153">
        <v>2020</v>
      </c>
    </row>
    <row r="154" spans="1:6" x14ac:dyDescent="0.35">
      <c r="A154">
        <v>153</v>
      </c>
      <c r="B154">
        <v>51</v>
      </c>
      <c r="C154" t="s">
        <v>23</v>
      </c>
      <c r="D154">
        <v>52015.45</v>
      </c>
      <c r="E154" t="s">
        <v>7</v>
      </c>
      <c r="F154">
        <v>2020</v>
      </c>
    </row>
    <row r="155" spans="1:6" x14ac:dyDescent="0.35">
      <c r="A155">
        <v>154</v>
      </c>
      <c r="B155">
        <v>52</v>
      </c>
      <c r="C155" t="s">
        <v>24</v>
      </c>
      <c r="D155">
        <v>25183.56</v>
      </c>
      <c r="E155" t="s">
        <v>7</v>
      </c>
      <c r="F155">
        <v>2020</v>
      </c>
    </row>
    <row r="156" spans="1:6" x14ac:dyDescent="0.35">
      <c r="A156">
        <v>155</v>
      </c>
      <c r="B156">
        <v>53</v>
      </c>
      <c r="C156" t="s">
        <v>25</v>
      </c>
      <c r="D156">
        <v>20056.990000000002</v>
      </c>
      <c r="E156" t="s">
        <v>7</v>
      </c>
      <c r="F156">
        <v>2020</v>
      </c>
    </row>
    <row r="157" spans="1:6" x14ac:dyDescent="0.35">
      <c r="A157">
        <v>156</v>
      </c>
      <c r="B157">
        <v>61</v>
      </c>
      <c r="C157" t="s">
        <v>26</v>
      </c>
      <c r="D157">
        <v>39622.239999999998</v>
      </c>
      <c r="E157" t="s">
        <v>7</v>
      </c>
      <c r="F157">
        <v>2020</v>
      </c>
    </row>
    <row r="158" spans="1:6" x14ac:dyDescent="0.35">
      <c r="A158">
        <v>157</v>
      </c>
      <c r="B158">
        <v>62</v>
      </c>
      <c r="C158" t="s">
        <v>27</v>
      </c>
      <c r="D158">
        <v>57145.08</v>
      </c>
      <c r="E158" t="s">
        <v>7</v>
      </c>
      <c r="F158">
        <v>2020</v>
      </c>
    </row>
    <row r="159" spans="1:6" x14ac:dyDescent="0.35">
      <c r="A159">
        <v>158</v>
      </c>
      <c r="B159">
        <v>63</v>
      </c>
      <c r="C159" t="s">
        <v>28</v>
      </c>
      <c r="D159">
        <v>44100.79</v>
      </c>
      <c r="E159" t="s">
        <v>7</v>
      </c>
      <c r="F159">
        <v>2020</v>
      </c>
    </row>
    <row r="160" spans="1:6" x14ac:dyDescent="0.35">
      <c r="A160">
        <v>159</v>
      </c>
      <c r="B160">
        <v>64</v>
      </c>
      <c r="C160" t="s">
        <v>29</v>
      </c>
      <c r="D160">
        <v>161798.85</v>
      </c>
      <c r="E160" t="s">
        <v>7</v>
      </c>
      <c r="F160">
        <v>2020</v>
      </c>
    </row>
    <row r="161" spans="1:6" x14ac:dyDescent="0.35">
      <c r="A161">
        <v>160</v>
      </c>
      <c r="B161">
        <v>65</v>
      </c>
      <c r="C161" t="s">
        <v>30</v>
      </c>
      <c r="D161">
        <v>143533.29</v>
      </c>
      <c r="E161" t="s">
        <v>7</v>
      </c>
      <c r="F161">
        <v>2020</v>
      </c>
    </row>
    <row r="162" spans="1:6" x14ac:dyDescent="0.35">
      <c r="A162">
        <v>161</v>
      </c>
      <c r="B162">
        <v>71</v>
      </c>
      <c r="C162" t="s">
        <v>31</v>
      </c>
      <c r="D162">
        <v>50521.13</v>
      </c>
      <c r="E162" t="s">
        <v>7</v>
      </c>
      <c r="F162">
        <v>2020</v>
      </c>
    </row>
    <row r="163" spans="1:6" x14ac:dyDescent="0.35">
      <c r="A163">
        <v>162</v>
      </c>
      <c r="B163">
        <v>72</v>
      </c>
      <c r="C163" t="s">
        <v>32</v>
      </c>
      <c r="D163">
        <v>66306.27</v>
      </c>
      <c r="E163" t="s">
        <v>7</v>
      </c>
      <c r="F163">
        <v>2020</v>
      </c>
    </row>
    <row r="164" spans="1:6" x14ac:dyDescent="0.35">
      <c r="A164">
        <v>163</v>
      </c>
      <c r="B164">
        <v>73</v>
      </c>
      <c r="C164" t="s">
        <v>33</v>
      </c>
      <c r="D164">
        <v>55675.03</v>
      </c>
      <c r="E164" t="s">
        <v>7</v>
      </c>
      <c r="F164">
        <v>2020</v>
      </c>
    </row>
    <row r="165" spans="1:6" x14ac:dyDescent="0.35">
      <c r="A165">
        <v>164</v>
      </c>
      <c r="B165">
        <v>74</v>
      </c>
      <c r="C165" t="s">
        <v>34</v>
      </c>
      <c r="D165">
        <v>49718.15</v>
      </c>
      <c r="E165" t="s">
        <v>7</v>
      </c>
      <c r="F165">
        <v>2020</v>
      </c>
    </row>
    <row r="166" spans="1:6" x14ac:dyDescent="0.35">
      <c r="A166">
        <v>165</v>
      </c>
      <c r="B166">
        <v>75</v>
      </c>
      <c r="C166" t="s">
        <v>35</v>
      </c>
      <c r="D166">
        <v>35693.26</v>
      </c>
      <c r="E166" t="s">
        <v>7</v>
      </c>
      <c r="F166">
        <v>2020</v>
      </c>
    </row>
    <row r="167" spans="1:6" x14ac:dyDescent="0.35">
      <c r="A167">
        <v>166</v>
      </c>
      <c r="B167">
        <v>76</v>
      </c>
      <c r="C167" t="s">
        <v>36</v>
      </c>
      <c r="D167">
        <v>32836.75</v>
      </c>
      <c r="E167" t="s">
        <v>7</v>
      </c>
      <c r="F167">
        <v>2020</v>
      </c>
    </row>
    <row r="168" spans="1:6" x14ac:dyDescent="0.35">
      <c r="A168">
        <v>167</v>
      </c>
      <c r="B168">
        <v>81</v>
      </c>
      <c r="C168" t="s">
        <v>37</v>
      </c>
      <c r="D168">
        <v>25094.36</v>
      </c>
      <c r="E168" t="s">
        <v>7</v>
      </c>
      <c r="F168">
        <v>2020</v>
      </c>
    </row>
    <row r="169" spans="1:6" x14ac:dyDescent="0.35">
      <c r="A169">
        <v>168</v>
      </c>
      <c r="B169">
        <v>82</v>
      </c>
      <c r="C169" t="s">
        <v>38</v>
      </c>
      <c r="D169">
        <v>33069.32</v>
      </c>
      <c r="E169" t="s">
        <v>7</v>
      </c>
      <c r="F169">
        <v>2020</v>
      </c>
    </row>
    <row r="170" spans="1:6" x14ac:dyDescent="0.35">
      <c r="A170">
        <v>169</v>
      </c>
      <c r="B170">
        <v>91</v>
      </c>
      <c r="C170" t="s">
        <v>39</v>
      </c>
      <c r="D170">
        <v>73932.600000000006</v>
      </c>
      <c r="E170" t="s">
        <v>7</v>
      </c>
      <c r="F170">
        <v>2020</v>
      </c>
    </row>
    <row r="171" spans="1:6" x14ac:dyDescent="0.35">
      <c r="A171">
        <v>170</v>
      </c>
      <c r="B171">
        <v>94</v>
      </c>
      <c r="C171" t="s">
        <v>40</v>
      </c>
      <c r="D171">
        <v>46416.36</v>
      </c>
      <c r="E171" t="s">
        <v>7</v>
      </c>
      <c r="F171">
        <v>2020</v>
      </c>
    </row>
    <row r="172" spans="1:6" x14ac:dyDescent="0.35">
      <c r="A172" s="1">
        <v>171</v>
      </c>
      <c r="B172" s="1">
        <v>11</v>
      </c>
      <c r="C172" s="1" t="s">
        <v>6</v>
      </c>
      <c r="D172" s="1">
        <v>34673.56</v>
      </c>
      <c r="E172" s="1" t="s">
        <v>7</v>
      </c>
      <c r="F172" s="1">
        <v>2021</v>
      </c>
    </row>
    <row r="173" spans="1:6" x14ac:dyDescent="0.35">
      <c r="A173">
        <v>172</v>
      </c>
      <c r="B173">
        <v>12</v>
      </c>
      <c r="C173" t="s">
        <v>8</v>
      </c>
      <c r="D173">
        <v>57441.93</v>
      </c>
      <c r="E173" t="s">
        <v>7</v>
      </c>
      <c r="F173">
        <v>2021</v>
      </c>
    </row>
    <row r="174" spans="1:6" x14ac:dyDescent="0.35">
      <c r="A174">
        <v>173</v>
      </c>
      <c r="B174">
        <v>13</v>
      </c>
      <c r="C174" t="s">
        <v>9</v>
      </c>
      <c r="D174">
        <v>45218.16</v>
      </c>
      <c r="E174" t="s">
        <v>7</v>
      </c>
      <c r="F174">
        <v>2021</v>
      </c>
    </row>
    <row r="175" spans="1:6" x14ac:dyDescent="0.35">
      <c r="A175">
        <v>174</v>
      </c>
      <c r="B175">
        <v>14</v>
      </c>
      <c r="C175" t="s">
        <v>10</v>
      </c>
      <c r="D175">
        <v>129740.71</v>
      </c>
      <c r="E175" t="s">
        <v>7</v>
      </c>
      <c r="F175">
        <v>2021</v>
      </c>
    </row>
    <row r="176" spans="1:6" x14ac:dyDescent="0.35">
      <c r="A176">
        <v>175</v>
      </c>
      <c r="B176">
        <v>15</v>
      </c>
      <c r="C176" t="s">
        <v>11</v>
      </c>
      <c r="D176">
        <v>64770.93</v>
      </c>
      <c r="E176" t="s">
        <v>7</v>
      </c>
      <c r="F176">
        <v>2021</v>
      </c>
    </row>
    <row r="177" spans="1:6" x14ac:dyDescent="0.35">
      <c r="A177">
        <v>176</v>
      </c>
      <c r="B177">
        <v>16</v>
      </c>
      <c r="C177" t="s">
        <v>12</v>
      </c>
      <c r="D177">
        <v>57744.67</v>
      </c>
      <c r="E177" t="s">
        <v>7</v>
      </c>
      <c r="F177">
        <v>2021</v>
      </c>
    </row>
    <row r="178" spans="1:6" x14ac:dyDescent="0.35">
      <c r="A178">
        <v>177</v>
      </c>
      <c r="B178">
        <v>17</v>
      </c>
      <c r="C178" t="s">
        <v>13</v>
      </c>
      <c r="D178">
        <v>39167.129999999997</v>
      </c>
      <c r="E178" t="s">
        <v>7</v>
      </c>
      <c r="F178">
        <v>2021</v>
      </c>
    </row>
    <row r="179" spans="1:6" x14ac:dyDescent="0.35">
      <c r="A179">
        <v>178</v>
      </c>
      <c r="B179">
        <v>18</v>
      </c>
      <c r="C179" t="s">
        <v>14</v>
      </c>
      <c r="D179">
        <v>40806.71</v>
      </c>
      <c r="E179" t="s">
        <v>7</v>
      </c>
      <c r="F179">
        <v>2021</v>
      </c>
    </row>
    <row r="180" spans="1:6" x14ac:dyDescent="0.35">
      <c r="A180">
        <v>179</v>
      </c>
      <c r="B180">
        <v>19</v>
      </c>
      <c r="C180" t="s">
        <v>15</v>
      </c>
      <c r="D180">
        <v>58406.07</v>
      </c>
      <c r="E180" t="s">
        <v>7</v>
      </c>
      <c r="F180">
        <v>2021</v>
      </c>
    </row>
    <row r="181" spans="1:6" x14ac:dyDescent="0.35">
      <c r="A181">
        <v>180</v>
      </c>
      <c r="B181">
        <v>21</v>
      </c>
      <c r="C181" t="s">
        <v>16</v>
      </c>
      <c r="D181">
        <v>131883.84</v>
      </c>
      <c r="E181" t="s">
        <v>7</v>
      </c>
      <c r="F181">
        <v>2021</v>
      </c>
    </row>
    <row r="182" spans="1:6" x14ac:dyDescent="0.35">
      <c r="A182">
        <v>181</v>
      </c>
      <c r="B182">
        <v>31</v>
      </c>
      <c r="C182" t="s">
        <v>17</v>
      </c>
      <c r="D182">
        <v>274659.62</v>
      </c>
      <c r="E182" t="s">
        <v>7</v>
      </c>
      <c r="F182">
        <v>2021</v>
      </c>
    </row>
    <row r="183" spans="1:6" x14ac:dyDescent="0.35">
      <c r="A183">
        <v>182</v>
      </c>
      <c r="B183">
        <v>32</v>
      </c>
      <c r="C183" t="s">
        <v>18</v>
      </c>
      <c r="D183">
        <v>45234.18</v>
      </c>
      <c r="E183" t="s">
        <v>7</v>
      </c>
      <c r="F183">
        <v>2021</v>
      </c>
    </row>
    <row r="184" spans="1:6" x14ac:dyDescent="0.35">
      <c r="A184">
        <v>183</v>
      </c>
      <c r="B184">
        <v>33</v>
      </c>
      <c r="C184" t="s">
        <v>19</v>
      </c>
      <c r="D184">
        <v>38568.080000000002</v>
      </c>
      <c r="E184" t="s">
        <v>7</v>
      </c>
      <c r="F184">
        <v>2021</v>
      </c>
    </row>
    <row r="185" spans="1:6" x14ac:dyDescent="0.35">
      <c r="A185">
        <v>184</v>
      </c>
      <c r="B185">
        <v>34</v>
      </c>
      <c r="C185" t="s">
        <v>20</v>
      </c>
      <c r="D185">
        <v>40516</v>
      </c>
      <c r="E185" t="s">
        <v>7</v>
      </c>
      <c r="F185">
        <v>2021</v>
      </c>
    </row>
    <row r="186" spans="1:6" x14ac:dyDescent="0.35">
      <c r="A186">
        <v>185</v>
      </c>
      <c r="B186">
        <v>35</v>
      </c>
      <c r="C186" t="s">
        <v>21</v>
      </c>
      <c r="D186">
        <v>59988.44</v>
      </c>
      <c r="E186" t="s">
        <v>7</v>
      </c>
      <c r="F186">
        <v>2021</v>
      </c>
    </row>
    <row r="187" spans="1:6" x14ac:dyDescent="0.35">
      <c r="A187">
        <v>186</v>
      </c>
      <c r="B187">
        <v>36</v>
      </c>
      <c r="C187" t="s">
        <v>22</v>
      </c>
      <c r="D187">
        <v>55383.29</v>
      </c>
      <c r="E187" t="s">
        <v>7</v>
      </c>
      <c r="F187">
        <v>2021</v>
      </c>
    </row>
    <row r="188" spans="1:6" x14ac:dyDescent="0.35">
      <c r="A188">
        <v>187</v>
      </c>
      <c r="B188">
        <v>51</v>
      </c>
      <c r="C188" t="s">
        <v>23</v>
      </c>
      <c r="D188">
        <v>50758.32</v>
      </c>
      <c r="E188" t="s">
        <v>7</v>
      </c>
      <c r="F188">
        <v>2021</v>
      </c>
    </row>
    <row r="189" spans="1:6" x14ac:dyDescent="0.35">
      <c r="A189">
        <v>188</v>
      </c>
      <c r="B189">
        <v>52</v>
      </c>
      <c r="C189" t="s">
        <v>24</v>
      </c>
      <c r="D189">
        <v>26009.17</v>
      </c>
      <c r="E189" t="s">
        <v>7</v>
      </c>
      <c r="F189">
        <v>2021</v>
      </c>
    </row>
    <row r="190" spans="1:6" x14ac:dyDescent="0.35">
      <c r="A190">
        <v>189</v>
      </c>
      <c r="B190">
        <v>53</v>
      </c>
      <c r="C190" t="s">
        <v>25</v>
      </c>
      <c r="D190">
        <v>20554.990000000002</v>
      </c>
      <c r="E190" t="s">
        <v>7</v>
      </c>
      <c r="F190">
        <v>2021</v>
      </c>
    </row>
    <row r="191" spans="1:6" x14ac:dyDescent="0.35">
      <c r="A191">
        <v>190</v>
      </c>
      <c r="B191">
        <v>61</v>
      </c>
      <c r="C191" t="s">
        <v>26</v>
      </c>
      <c r="D191">
        <v>42252.66</v>
      </c>
      <c r="E191" t="s">
        <v>7</v>
      </c>
      <c r="F191">
        <v>2021</v>
      </c>
    </row>
    <row r="192" spans="1:6" x14ac:dyDescent="0.35">
      <c r="A192">
        <v>191</v>
      </c>
      <c r="B192">
        <v>62</v>
      </c>
      <c r="C192" t="s">
        <v>27</v>
      </c>
      <c r="D192">
        <v>62833.77</v>
      </c>
      <c r="E192" t="s">
        <v>7</v>
      </c>
      <c r="F192">
        <v>2021</v>
      </c>
    </row>
    <row r="193" spans="1:6" x14ac:dyDescent="0.35">
      <c r="A193">
        <v>192</v>
      </c>
      <c r="B193">
        <v>63</v>
      </c>
      <c r="C193" t="s">
        <v>28</v>
      </c>
      <c r="D193">
        <v>48065.95</v>
      </c>
      <c r="E193" t="s">
        <v>7</v>
      </c>
      <c r="F193">
        <v>2021</v>
      </c>
    </row>
    <row r="194" spans="1:6" x14ac:dyDescent="0.35">
      <c r="A194">
        <v>193</v>
      </c>
      <c r="B194">
        <v>64</v>
      </c>
      <c r="C194" t="s">
        <v>29</v>
      </c>
      <c r="D194">
        <v>183157.52</v>
      </c>
      <c r="E194" t="s">
        <v>7</v>
      </c>
      <c r="F194">
        <v>2021</v>
      </c>
    </row>
    <row r="195" spans="1:6" x14ac:dyDescent="0.35">
      <c r="A195">
        <v>194</v>
      </c>
      <c r="B195">
        <v>65</v>
      </c>
      <c r="C195" t="s">
        <v>30</v>
      </c>
      <c r="D195">
        <v>157091.68</v>
      </c>
      <c r="E195" t="s">
        <v>7</v>
      </c>
      <c r="F195">
        <v>2021</v>
      </c>
    </row>
    <row r="196" spans="1:6" x14ac:dyDescent="0.35">
      <c r="A196">
        <v>195</v>
      </c>
      <c r="B196">
        <v>71</v>
      </c>
      <c r="C196" t="s">
        <v>31</v>
      </c>
      <c r="D196">
        <v>54034.12</v>
      </c>
      <c r="E196" t="s">
        <v>7</v>
      </c>
      <c r="F196">
        <v>2021</v>
      </c>
    </row>
    <row r="197" spans="1:6" x14ac:dyDescent="0.35">
      <c r="A197">
        <v>196</v>
      </c>
      <c r="B197">
        <v>72</v>
      </c>
      <c r="C197" t="s">
        <v>32</v>
      </c>
      <c r="D197">
        <v>82016.81</v>
      </c>
      <c r="E197" t="s">
        <v>7</v>
      </c>
      <c r="F197">
        <v>2021</v>
      </c>
    </row>
    <row r="198" spans="1:6" x14ac:dyDescent="0.35">
      <c r="A198">
        <v>197</v>
      </c>
      <c r="B198">
        <v>73</v>
      </c>
      <c r="C198" t="s">
        <v>33</v>
      </c>
      <c r="D198">
        <v>59502.64</v>
      </c>
      <c r="E198" t="s">
        <v>7</v>
      </c>
      <c r="F198">
        <v>2021</v>
      </c>
    </row>
    <row r="199" spans="1:6" x14ac:dyDescent="0.35">
      <c r="A199">
        <v>198</v>
      </c>
      <c r="B199">
        <v>74</v>
      </c>
      <c r="C199" t="s">
        <v>34</v>
      </c>
      <c r="D199">
        <v>52436.02</v>
      </c>
      <c r="E199" t="s">
        <v>7</v>
      </c>
      <c r="F199">
        <v>2021</v>
      </c>
    </row>
    <row r="200" spans="1:6" x14ac:dyDescent="0.35">
      <c r="A200">
        <v>199</v>
      </c>
      <c r="B200">
        <v>75</v>
      </c>
      <c r="C200" t="s">
        <v>35</v>
      </c>
      <c r="D200">
        <v>37086.76</v>
      </c>
      <c r="E200" t="s">
        <v>7</v>
      </c>
      <c r="F200">
        <v>2021</v>
      </c>
    </row>
    <row r="201" spans="1:6" x14ac:dyDescent="0.35">
      <c r="A201">
        <v>200</v>
      </c>
      <c r="B201">
        <v>76</v>
      </c>
      <c r="C201" t="s">
        <v>36</v>
      </c>
      <c r="D201">
        <v>35195.14</v>
      </c>
      <c r="E201" t="s">
        <v>7</v>
      </c>
      <c r="F201">
        <v>2021</v>
      </c>
    </row>
    <row r="202" spans="1:6" x14ac:dyDescent="0.35">
      <c r="A202">
        <v>201</v>
      </c>
      <c r="B202">
        <v>81</v>
      </c>
      <c r="C202" t="s">
        <v>37</v>
      </c>
      <c r="D202">
        <v>26153.05</v>
      </c>
      <c r="E202" t="s">
        <v>7</v>
      </c>
      <c r="F202">
        <v>2021</v>
      </c>
    </row>
    <row r="203" spans="1:6" x14ac:dyDescent="0.35">
      <c r="A203">
        <v>202</v>
      </c>
      <c r="B203">
        <v>82</v>
      </c>
      <c r="C203" t="s">
        <v>38</v>
      </c>
      <c r="D203">
        <v>40381.06</v>
      </c>
      <c r="E203" t="s">
        <v>7</v>
      </c>
      <c r="F203">
        <v>2021</v>
      </c>
    </row>
    <row r="204" spans="1:6" x14ac:dyDescent="0.35">
      <c r="A204">
        <v>203</v>
      </c>
      <c r="B204">
        <v>91</v>
      </c>
      <c r="C204" t="s">
        <v>39</v>
      </c>
      <c r="D204">
        <v>74021.649999999994</v>
      </c>
      <c r="E204" t="s">
        <v>7</v>
      </c>
      <c r="F204">
        <v>2021</v>
      </c>
    </row>
    <row r="205" spans="1:6" x14ac:dyDescent="0.35">
      <c r="A205">
        <v>204</v>
      </c>
      <c r="B205">
        <v>94</v>
      </c>
      <c r="C205" t="s">
        <v>40</v>
      </c>
      <c r="D205">
        <v>54050.61</v>
      </c>
      <c r="E205" t="s">
        <v>7</v>
      </c>
      <c r="F205">
        <v>2021</v>
      </c>
    </row>
    <row r="206" spans="1:6" x14ac:dyDescent="0.35">
      <c r="A206" s="1">
        <v>205</v>
      </c>
      <c r="B206" s="1">
        <v>11</v>
      </c>
      <c r="C206" s="1" t="s">
        <v>6</v>
      </c>
      <c r="D206" s="1">
        <v>38767.08</v>
      </c>
      <c r="E206" s="1" t="s">
        <v>7</v>
      </c>
      <c r="F206" s="1">
        <v>2022</v>
      </c>
    </row>
    <row r="207" spans="1:6" x14ac:dyDescent="0.35">
      <c r="A207">
        <v>206</v>
      </c>
      <c r="B207">
        <v>12</v>
      </c>
      <c r="C207" t="s">
        <v>8</v>
      </c>
      <c r="D207">
        <v>62922.26</v>
      </c>
      <c r="E207" t="s">
        <v>7</v>
      </c>
      <c r="F207">
        <v>2022</v>
      </c>
    </row>
    <row r="208" spans="1:6" x14ac:dyDescent="0.35">
      <c r="A208">
        <v>207</v>
      </c>
      <c r="B208">
        <v>13</v>
      </c>
      <c r="C208" t="s">
        <v>9</v>
      </c>
      <c r="D208">
        <v>50263.83</v>
      </c>
      <c r="E208" t="s">
        <v>7</v>
      </c>
      <c r="F208">
        <v>2022</v>
      </c>
    </row>
    <row r="209" spans="1:6" x14ac:dyDescent="0.35">
      <c r="A209">
        <v>208</v>
      </c>
      <c r="B209">
        <v>14</v>
      </c>
      <c r="C209" t="s">
        <v>10</v>
      </c>
      <c r="D209">
        <v>151258.97</v>
      </c>
      <c r="E209" t="s">
        <v>7</v>
      </c>
      <c r="F209">
        <v>2022</v>
      </c>
    </row>
    <row r="210" spans="1:6" x14ac:dyDescent="0.35">
      <c r="A210">
        <v>209</v>
      </c>
      <c r="B210">
        <v>15</v>
      </c>
      <c r="C210" t="s">
        <v>11</v>
      </c>
      <c r="D210">
        <v>76224.160000000003</v>
      </c>
      <c r="E210" t="s">
        <v>7</v>
      </c>
      <c r="F210">
        <v>2022</v>
      </c>
    </row>
    <row r="211" spans="1:6" x14ac:dyDescent="0.35">
      <c r="A211">
        <v>210</v>
      </c>
      <c r="B211">
        <v>16</v>
      </c>
      <c r="C211" t="s">
        <v>12</v>
      </c>
      <c r="D211">
        <v>68238.87</v>
      </c>
      <c r="E211" t="s">
        <v>7</v>
      </c>
      <c r="F211">
        <v>2022</v>
      </c>
    </row>
    <row r="212" spans="1:6" x14ac:dyDescent="0.35">
      <c r="A212">
        <v>211</v>
      </c>
      <c r="B212">
        <v>17</v>
      </c>
      <c r="C212" t="s">
        <v>13</v>
      </c>
      <c r="D212">
        <v>43756.98</v>
      </c>
      <c r="E212" t="s">
        <v>7</v>
      </c>
      <c r="F212">
        <v>2022</v>
      </c>
    </row>
    <row r="213" spans="1:6" x14ac:dyDescent="0.35">
      <c r="A213">
        <v>212</v>
      </c>
      <c r="B213">
        <v>18</v>
      </c>
      <c r="C213" t="s">
        <v>14</v>
      </c>
      <c r="D213">
        <v>44982.400000000001</v>
      </c>
      <c r="E213" t="s">
        <v>7</v>
      </c>
      <c r="F213">
        <v>2022</v>
      </c>
    </row>
    <row r="214" spans="1:6" x14ac:dyDescent="0.35">
      <c r="A214">
        <v>213</v>
      </c>
      <c r="B214">
        <v>19</v>
      </c>
      <c r="C214" t="s">
        <v>15</v>
      </c>
      <c r="D214">
        <v>63865.51</v>
      </c>
      <c r="E214" t="s">
        <v>7</v>
      </c>
      <c r="F214">
        <v>2022</v>
      </c>
    </row>
    <row r="215" spans="1:6" x14ac:dyDescent="0.35">
      <c r="A215">
        <v>214</v>
      </c>
      <c r="B215">
        <v>21</v>
      </c>
      <c r="C215" t="s">
        <v>16</v>
      </c>
      <c r="D215">
        <v>145530.48000000001</v>
      </c>
      <c r="E215" t="s">
        <v>7</v>
      </c>
      <c r="F215">
        <v>2022</v>
      </c>
    </row>
    <row r="216" spans="1:6" x14ac:dyDescent="0.35">
      <c r="A216">
        <v>215</v>
      </c>
      <c r="B216">
        <v>31</v>
      </c>
      <c r="C216" t="s">
        <v>17</v>
      </c>
      <c r="D216">
        <v>299674.73</v>
      </c>
      <c r="E216" t="s">
        <v>7</v>
      </c>
      <c r="F216">
        <v>2022</v>
      </c>
    </row>
    <row r="217" spans="1:6" x14ac:dyDescent="0.35">
      <c r="A217">
        <v>216</v>
      </c>
      <c r="B217">
        <v>32</v>
      </c>
      <c r="C217" t="s">
        <v>18</v>
      </c>
      <c r="D217">
        <v>49136.9</v>
      </c>
      <c r="E217" t="s">
        <v>7</v>
      </c>
      <c r="F217">
        <v>2022</v>
      </c>
    </row>
    <row r="218" spans="1:6" x14ac:dyDescent="0.35">
      <c r="A218">
        <v>217</v>
      </c>
      <c r="B218">
        <v>33</v>
      </c>
      <c r="C218" t="s">
        <v>19</v>
      </c>
      <c r="D218">
        <v>41934.46</v>
      </c>
      <c r="E218" t="s">
        <v>7</v>
      </c>
      <c r="F218">
        <v>2022</v>
      </c>
    </row>
    <row r="219" spans="1:6" x14ac:dyDescent="0.35">
      <c r="A219">
        <v>218</v>
      </c>
      <c r="B219">
        <v>34</v>
      </c>
      <c r="C219" t="s">
        <v>20</v>
      </c>
      <c r="D219">
        <v>44638.79</v>
      </c>
      <c r="E219" t="s">
        <v>7</v>
      </c>
      <c r="F219">
        <v>2022</v>
      </c>
    </row>
    <row r="220" spans="1:6" x14ac:dyDescent="0.35">
      <c r="A220">
        <v>219</v>
      </c>
      <c r="B220">
        <v>35</v>
      </c>
      <c r="C220" t="s">
        <v>21</v>
      </c>
      <c r="D220">
        <v>66248.490000000005</v>
      </c>
      <c r="E220" t="s">
        <v>7</v>
      </c>
      <c r="F220">
        <v>2022</v>
      </c>
    </row>
    <row r="221" spans="1:6" x14ac:dyDescent="0.35">
      <c r="A221">
        <v>220</v>
      </c>
      <c r="B221">
        <v>36</v>
      </c>
      <c r="C221" t="s">
        <v>22</v>
      </c>
      <c r="D221">
        <v>61413.54</v>
      </c>
      <c r="E221" t="s">
        <v>7</v>
      </c>
      <c r="F221">
        <v>2022</v>
      </c>
    </row>
    <row r="222" spans="1:6" x14ac:dyDescent="0.35">
      <c r="A222">
        <v>221</v>
      </c>
      <c r="B222">
        <v>51</v>
      </c>
      <c r="C222" t="s">
        <v>23</v>
      </c>
      <c r="D222">
        <v>56092.959999999999</v>
      </c>
      <c r="E222" t="s">
        <v>7</v>
      </c>
      <c r="F222">
        <v>2022</v>
      </c>
    </row>
    <row r="223" spans="1:6" x14ac:dyDescent="0.35">
      <c r="A223">
        <v>222</v>
      </c>
      <c r="B223">
        <v>52</v>
      </c>
      <c r="C223" t="s">
        <v>24</v>
      </c>
      <c r="D223">
        <v>28670.720000000001</v>
      </c>
      <c r="E223" t="s">
        <v>7</v>
      </c>
      <c r="F223">
        <v>2022</v>
      </c>
    </row>
    <row r="224" spans="1:6" x14ac:dyDescent="0.35">
      <c r="A224">
        <v>223</v>
      </c>
      <c r="B224">
        <v>53</v>
      </c>
      <c r="C224" t="s">
        <v>25</v>
      </c>
      <c r="D224">
        <v>21657.61</v>
      </c>
      <c r="E224" t="s">
        <v>7</v>
      </c>
      <c r="F224">
        <v>2022</v>
      </c>
    </row>
    <row r="225" spans="1:6" x14ac:dyDescent="0.35">
      <c r="A225">
        <v>224</v>
      </c>
      <c r="B225">
        <v>61</v>
      </c>
      <c r="C225" t="s">
        <v>26</v>
      </c>
      <c r="D225">
        <v>46092.06</v>
      </c>
      <c r="E225" t="s">
        <v>7</v>
      </c>
      <c r="F225">
        <v>2022</v>
      </c>
    </row>
    <row r="226" spans="1:6" x14ac:dyDescent="0.35">
      <c r="A226">
        <v>225</v>
      </c>
      <c r="B226">
        <v>62</v>
      </c>
      <c r="C226" t="s">
        <v>27</v>
      </c>
      <c r="D226">
        <v>72973.14</v>
      </c>
      <c r="E226" t="s">
        <v>7</v>
      </c>
      <c r="F226">
        <v>2022</v>
      </c>
    </row>
    <row r="227" spans="1:6" x14ac:dyDescent="0.35">
      <c r="A227">
        <v>226</v>
      </c>
      <c r="B227">
        <v>63</v>
      </c>
      <c r="C227" t="s">
        <v>28</v>
      </c>
      <c r="D227">
        <v>60213.03</v>
      </c>
      <c r="E227" t="s">
        <v>7</v>
      </c>
      <c r="F227">
        <v>2022</v>
      </c>
    </row>
    <row r="228" spans="1:6" x14ac:dyDescent="0.35">
      <c r="A228">
        <v>227</v>
      </c>
      <c r="B228">
        <v>64</v>
      </c>
      <c r="C228" t="s">
        <v>29</v>
      </c>
      <c r="D228">
        <v>238916.99</v>
      </c>
      <c r="E228" t="s">
        <v>7</v>
      </c>
      <c r="F228">
        <v>2022</v>
      </c>
    </row>
    <row r="229" spans="1:6" x14ac:dyDescent="0.35">
      <c r="A229">
        <v>228</v>
      </c>
      <c r="B229">
        <v>65</v>
      </c>
      <c r="C229" t="s">
        <v>30</v>
      </c>
      <c r="D229">
        <v>192588.32</v>
      </c>
      <c r="E229" t="s">
        <v>7</v>
      </c>
      <c r="F229">
        <v>2022</v>
      </c>
    </row>
    <row r="230" spans="1:6" x14ac:dyDescent="0.35">
      <c r="A230">
        <v>229</v>
      </c>
      <c r="B230">
        <v>71</v>
      </c>
      <c r="C230" t="s">
        <v>31</v>
      </c>
      <c r="D230">
        <v>59020.57</v>
      </c>
      <c r="E230" t="s">
        <v>7</v>
      </c>
      <c r="F230">
        <v>2022</v>
      </c>
    </row>
    <row r="231" spans="1:6" x14ac:dyDescent="0.35">
      <c r="A231">
        <v>230</v>
      </c>
      <c r="B231">
        <v>72</v>
      </c>
      <c r="C231" t="s">
        <v>32</v>
      </c>
      <c r="D231">
        <v>106068.47</v>
      </c>
      <c r="E231" t="s">
        <v>7</v>
      </c>
      <c r="F231">
        <v>2022</v>
      </c>
    </row>
    <row r="232" spans="1:6" x14ac:dyDescent="0.35">
      <c r="A232">
        <v>231</v>
      </c>
      <c r="B232">
        <v>73</v>
      </c>
      <c r="C232" t="s">
        <v>33</v>
      </c>
      <c r="D232">
        <v>65353.29</v>
      </c>
      <c r="E232" t="s">
        <v>7</v>
      </c>
      <c r="F232">
        <v>2022</v>
      </c>
    </row>
    <row r="233" spans="1:6" x14ac:dyDescent="0.35">
      <c r="A233">
        <v>232</v>
      </c>
      <c r="B233">
        <v>74</v>
      </c>
      <c r="C233" t="s">
        <v>34</v>
      </c>
      <c r="D233">
        <v>58714.73</v>
      </c>
      <c r="E233" t="s">
        <v>7</v>
      </c>
      <c r="F233">
        <v>2022</v>
      </c>
    </row>
    <row r="234" spans="1:6" x14ac:dyDescent="0.35">
      <c r="A234">
        <v>233</v>
      </c>
      <c r="B234">
        <v>75</v>
      </c>
      <c r="C234" t="s">
        <v>35</v>
      </c>
      <c r="D234">
        <v>39690.94</v>
      </c>
      <c r="E234" t="s">
        <v>7</v>
      </c>
      <c r="F234">
        <v>2022</v>
      </c>
    </row>
    <row r="235" spans="1:6" x14ac:dyDescent="0.35">
      <c r="A235">
        <v>234</v>
      </c>
      <c r="B235">
        <v>76</v>
      </c>
      <c r="C235" t="s">
        <v>36</v>
      </c>
      <c r="D235">
        <v>37033.82</v>
      </c>
      <c r="E235" t="s">
        <v>7</v>
      </c>
      <c r="F235">
        <v>2022</v>
      </c>
    </row>
    <row r="236" spans="1:6" x14ac:dyDescent="0.35">
      <c r="A236">
        <v>235</v>
      </c>
      <c r="B236">
        <v>81</v>
      </c>
      <c r="C236" t="s">
        <v>37</v>
      </c>
      <c r="D236">
        <v>28536.54</v>
      </c>
      <c r="E236" t="s">
        <v>7</v>
      </c>
      <c r="F236">
        <v>2022</v>
      </c>
    </row>
    <row r="237" spans="1:6" x14ac:dyDescent="0.35">
      <c r="A237">
        <v>236</v>
      </c>
      <c r="B237">
        <v>82</v>
      </c>
      <c r="C237" t="s">
        <v>38</v>
      </c>
      <c r="D237">
        <v>53776.27</v>
      </c>
      <c r="E237" t="s">
        <v>7</v>
      </c>
      <c r="F237">
        <v>2022</v>
      </c>
    </row>
    <row r="238" spans="1:6" x14ac:dyDescent="0.35">
      <c r="A238">
        <v>237</v>
      </c>
      <c r="B238">
        <v>91</v>
      </c>
      <c r="C238" t="s">
        <v>39</v>
      </c>
      <c r="D238">
        <v>78132.75</v>
      </c>
      <c r="E238" t="s">
        <v>7</v>
      </c>
      <c r="F238">
        <v>2022</v>
      </c>
    </row>
    <row r="239" spans="1:6" x14ac:dyDescent="0.35">
      <c r="A239">
        <v>238</v>
      </c>
      <c r="B239">
        <v>94</v>
      </c>
      <c r="C239" t="s">
        <v>40</v>
      </c>
      <c r="D239">
        <v>59383.62</v>
      </c>
      <c r="E239" t="s">
        <v>7</v>
      </c>
      <c r="F239">
        <v>2022</v>
      </c>
    </row>
    <row r="240" spans="1:6" x14ac:dyDescent="0.35">
      <c r="A240" s="1">
        <v>239</v>
      </c>
      <c r="B240" s="1">
        <v>11</v>
      </c>
      <c r="C240" s="1" t="s">
        <v>6</v>
      </c>
      <c r="D240" s="1">
        <v>41407.599999999999</v>
      </c>
      <c r="E240" s="1" t="s">
        <v>7</v>
      </c>
      <c r="F240" s="1">
        <v>2023</v>
      </c>
    </row>
    <row r="241" spans="1:6" x14ac:dyDescent="0.35">
      <c r="A241">
        <v>240</v>
      </c>
      <c r="B241">
        <v>12</v>
      </c>
      <c r="C241" t="s">
        <v>8</v>
      </c>
      <c r="D241">
        <v>68305.710000000006</v>
      </c>
      <c r="E241" t="s">
        <v>7</v>
      </c>
      <c r="F241">
        <v>2023</v>
      </c>
    </row>
    <row r="242" spans="1:6" x14ac:dyDescent="0.35">
      <c r="A242">
        <v>241</v>
      </c>
      <c r="B242">
        <v>13</v>
      </c>
      <c r="C242" t="s">
        <v>9</v>
      </c>
      <c r="D242">
        <v>54333.83</v>
      </c>
      <c r="E242" t="s">
        <v>7</v>
      </c>
      <c r="F242">
        <v>2023</v>
      </c>
    </row>
    <row r="243" spans="1:6" x14ac:dyDescent="0.35">
      <c r="A243">
        <v>242</v>
      </c>
      <c r="B243">
        <v>14</v>
      </c>
      <c r="C243" t="s">
        <v>10</v>
      </c>
      <c r="D243">
        <v>154522.28</v>
      </c>
      <c r="E243" t="s">
        <v>7</v>
      </c>
      <c r="F243">
        <v>2023</v>
      </c>
    </row>
    <row r="244" spans="1:6" x14ac:dyDescent="0.35">
      <c r="A244">
        <v>243</v>
      </c>
      <c r="B244">
        <v>15</v>
      </c>
      <c r="C244" t="s">
        <v>11</v>
      </c>
      <c r="D244">
        <v>79873.36</v>
      </c>
      <c r="E244" t="s">
        <v>7</v>
      </c>
      <c r="F244">
        <v>2023</v>
      </c>
    </row>
    <row r="245" spans="1:6" x14ac:dyDescent="0.35">
      <c r="A245">
        <v>244</v>
      </c>
      <c r="B245">
        <v>16</v>
      </c>
      <c r="C245" t="s">
        <v>12</v>
      </c>
      <c r="D245">
        <v>71958.27</v>
      </c>
      <c r="E245" t="s">
        <v>7</v>
      </c>
      <c r="F245">
        <v>2023</v>
      </c>
    </row>
    <row r="246" spans="1:6" x14ac:dyDescent="0.35">
      <c r="A246">
        <v>245</v>
      </c>
      <c r="B246">
        <v>17</v>
      </c>
      <c r="C246" t="s">
        <v>13</v>
      </c>
      <c r="D246">
        <v>46300.51</v>
      </c>
      <c r="E246" t="s">
        <v>7</v>
      </c>
      <c r="F246">
        <v>2023</v>
      </c>
    </row>
    <row r="247" spans="1:6" x14ac:dyDescent="0.35">
      <c r="A247">
        <v>246</v>
      </c>
      <c r="B247">
        <v>18</v>
      </c>
      <c r="C247" t="s">
        <v>14</v>
      </c>
      <c r="D247">
        <v>48187.64</v>
      </c>
      <c r="E247" t="s">
        <v>7</v>
      </c>
      <c r="F247">
        <v>2023</v>
      </c>
    </row>
    <row r="248" spans="1:6" x14ac:dyDescent="0.35">
      <c r="A248">
        <v>247</v>
      </c>
      <c r="B248">
        <v>19</v>
      </c>
      <c r="C248" t="s">
        <v>15</v>
      </c>
      <c r="D248">
        <v>67812.94</v>
      </c>
      <c r="E248" t="s">
        <v>7</v>
      </c>
      <c r="F248">
        <v>2023</v>
      </c>
    </row>
    <row r="249" spans="1:6" x14ac:dyDescent="0.35">
      <c r="A249">
        <v>248</v>
      </c>
      <c r="B249">
        <v>21</v>
      </c>
      <c r="C249" t="s">
        <v>16</v>
      </c>
      <c r="D249">
        <v>154065.16</v>
      </c>
      <c r="E249" t="s">
        <v>7</v>
      </c>
      <c r="F249">
        <v>2023</v>
      </c>
    </row>
    <row r="250" spans="1:6" x14ac:dyDescent="0.35">
      <c r="A250">
        <v>249</v>
      </c>
      <c r="B250">
        <v>31</v>
      </c>
      <c r="C250" t="s">
        <v>17</v>
      </c>
      <c r="D250">
        <v>322650.58</v>
      </c>
      <c r="E250" t="s">
        <v>7</v>
      </c>
      <c r="F250">
        <v>2023</v>
      </c>
    </row>
    <row r="251" spans="1:6" x14ac:dyDescent="0.35">
      <c r="A251">
        <v>250</v>
      </c>
      <c r="B251">
        <v>32</v>
      </c>
      <c r="C251" t="s">
        <v>18</v>
      </c>
      <c r="D251">
        <v>52651.05</v>
      </c>
      <c r="E251" t="s">
        <v>7</v>
      </c>
      <c r="F251">
        <v>2023</v>
      </c>
    </row>
    <row r="252" spans="1:6" x14ac:dyDescent="0.35">
      <c r="A252">
        <v>251</v>
      </c>
      <c r="B252">
        <v>33</v>
      </c>
      <c r="C252" t="s">
        <v>19</v>
      </c>
      <c r="D252">
        <v>45162.080000000002</v>
      </c>
      <c r="E252" t="s">
        <v>7</v>
      </c>
      <c r="F252">
        <v>2023</v>
      </c>
    </row>
    <row r="253" spans="1:6" x14ac:dyDescent="0.35">
      <c r="A253">
        <v>252</v>
      </c>
      <c r="B253">
        <v>34</v>
      </c>
      <c r="C253" t="s">
        <v>20</v>
      </c>
      <c r="D253">
        <v>48373.32</v>
      </c>
      <c r="E253" t="s">
        <v>7</v>
      </c>
      <c r="F253">
        <v>2023</v>
      </c>
    </row>
    <row r="254" spans="1:6" x14ac:dyDescent="0.35">
      <c r="A254">
        <v>253</v>
      </c>
      <c r="B254">
        <v>35</v>
      </c>
      <c r="C254" t="s">
        <v>21</v>
      </c>
      <c r="D254">
        <v>71121.929999999993</v>
      </c>
      <c r="E254" t="s">
        <v>7</v>
      </c>
      <c r="F254">
        <v>2023</v>
      </c>
    </row>
    <row r="255" spans="1:6" x14ac:dyDescent="0.35">
      <c r="A255">
        <v>254</v>
      </c>
      <c r="B255">
        <v>36</v>
      </c>
      <c r="C255" t="s">
        <v>22</v>
      </c>
      <c r="D255">
        <v>66147.199999999997</v>
      </c>
      <c r="E255" t="s">
        <v>7</v>
      </c>
      <c r="F255">
        <v>2023</v>
      </c>
    </row>
    <row r="256" spans="1:6" x14ac:dyDescent="0.35">
      <c r="A256">
        <v>255</v>
      </c>
      <c r="B256">
        <v>51</v>
      </c>
      <c r="C256" t="s">
        <v>23</v>
      </c>
      <c r="D256">
        <v>62299.21</v>
      </c>
      <c r="E256" t="s">
        <v>7</v>
      </c>
      <c r="F256">
        <v>2023</v>
      </c>
    </row>
    <row r="257" spans="1:6" x14ac:dyDescent="0.35">
      <c r="A257">
        <v>256</v>
      </c>
      <c r="B257">
        <v>52</v>
      </c>
      <c r="C257" t="s">
        <v>24</v>
      </c>
      <c r="D257">
        <v>29925.69</v>
      </c>
      <c r="E257" t="s">
        <v>7</v>
      </c>
      <c r="F257">
        <v>2023</v>
      </c>
    </row>
    <row r="258" spans="1:6" x14ac:dyDescent="0.35">
      <c r="A258">
        <v>257</v>
      </c>
      <c r="B258">
        <v>53</v>
      </c>
      <c r="C258" t="s">
        <v>25</v>
      </c>
      <c r="D258">
        <v>23078.51</v>
      </c>
      <c r="E258" t="s">
        <v>7</v>
      </c>
      <c r="F258">
        <v>2023</v>
      </c>
    </row>
    <row r="259" spans="1:6" x14ac:dyDescent="0.35">
      <c r="A259">
        <v>258</v>
      </c>
      <c r="B259">
        <v>61</v>
      </c>
      <c r="C259" t="s">
        <v>26</v>
      </c>
      <c r="D259">
        <v>48808.92</v>
      </c>
      <c r="E259" t="s">
        <v>7</v>
      </c>
      <c r="F259">
        <v>2023</v>
      </c>
    </row>
    <row r="260" spans="1:6" x14ac:dyDescent="0.35">
      <c r="A260">
        <v>259</v>
      </c>
      <c r="B260">
        <v>62</v>
      </c>
      <c r="C260" t="s">
        <v>27</v>
      </c>
      <c r="D260">
        <v>75271.23</v>
      </c>
      <c r="E260" t="s">
        <v>7</v>
      </c>
      <c r="F260">
        <v>2023</v>
      </c>
    </row>
    <row r="261" spans="1:6" x14ac:dyDescent="0.35">
      <c r="A261">
        <v>260</v>
      </c>
      <c r="B261">
        <v>63</v>
      </c>
      <c r="C261" t="s">
        <v>28</v>
      </c>
      <c r="D261">
        <v>63754.33</v>
      </c>
      <c r="E261" t="s">
        <v>7</v>
      </c>
      <c r="F261">
        <v>2023</v>
      </c>
    </row>
    <row r="262" spans="1:6" x14ac:dyDescent="0.35">
      <c r="A262">
        <v>261</v>
      </c>
      <c r="B262">
        <v>64</v>
      </c>
      <c r="C262" t="s">
        <v>29</v>
      </c>
      <c r="D262">
        <v>215804.04</v>
      </c>
      <c r="E262" t="s">
        <v>7</v>
      </c>
      <c r="F262">
        <v>2023</v>
      </c>
    </row>
    <row r="263" spans="1:6" x14ac:dyDescent="0.35">
      <c r="A263">
        <v>262</v>
      </c>
      <c r="B263">
        <v>65</v>
      </c>
      <c r="C263" t="s">
        <v>30</v>
      </c>
      <c r="D263">
        <v>201788.63</v>
      </c>
      <c r="E263" t="s">
        <v>7</v>
      </c>
      <c r="F263">
        <v>2023</v>
      </c>
    </row>
    <row r="264" spans="1:6" x14ac:dyDescent="0.35">
      <c r="A264">
        <v>263</v>
      </c>
      <c r="B264">
        <v>71</v>
      </c>
      <c r="C264" t="s">
        <v>31</v>
      </c>
      <c r="D264">
        <v>64130.96</v>
      </c>
      <c r="E264" t="s">
        <v>7</v>
      </c>
      <c r="F264">
        <v>2023</v>
      </c>
    </row>
    <row r="265" spans="1:6" x14ac:dyDescent="0.35">
      <c r="A265">
        <v>264</v>
      </c>
      <c r="B265">
        <v>72</v>
      </c>
      <c r="C265" t="s">
        <v>32</v>
      </c>
      <c r="D265">
        <v>112461.01</v>
      </c>
      <c r="E265" t="s">
        <v>7</v>
      </c>
      <c r="F265">
        <v>2023</v>
      </c>
    </row>
    <row r="266" spans="1:6" x14ac:dyDescent="0.35">
      <c r="A266">
        <v>265</v>
      </c>
      <c r="B266">
        <v>73</v>
      </c>
      <c r="C266" t="s">
        <v>33</v>
      </c>
      <c r="D266">
        <v>69710.31</v>
      </c>
      <c r="E266" t="s">
        <v>7</v>
      </c>
      <c r="F266">
        <v>2023</v>
      </c>
    </row>
    <row r="267" spans="1:6" x14ac:dyDescent="0.35">
      <c r="A267">
        <v>266</v>
      </c>
      <c r="B267">
        <v>74</v>
      </c>
      <c r="C267" t="s">
        <v>34</v>
      </c>
      <c r="D267">
        <v>64088.4</v>
      </c>
      <c r="E267" t="s">
        <v>7</v>
      </c>
      <c r="F267">
        <v>2023</v>
      </c>
    </row>
    <row r="268" spans="1:6" x14ac:dyDescent="0.35">
      <c r="A268">
        <v>267</v>
      </c>
      <c r="B268">
        <v>75</v>
      </c>
      <c r="C268" t="s">
        <v>35</v>
      </c>
      <c r="D268">
        <v>42340.5</v>
      </c>
      <c r="E268" t="s">
        <v>7</v>
      </c>
      <c r="F268">
        <v>2023</v>
      </c>
    </row>
    <row r="269" spans="1:6" x14ac:dyDescent="0.35">
      <c r="A269">
        <v>268</v>
      </c>
      <c r="B269">
        <v>76</v>
      </c>
      <c r="C269" t="s">
        <v>36</v>
      </c>
      <c r="D269">
        <v>39546.78</v>
      </c>
      <c r="E269" t="s">
        <v>7</v>
      </c>
      <c r="F269">
        <v>2023</v>
      </c>
    </row>
    <row r="270" spans="1:6" x14ac:dyDescent="0.35">
      <c r="A270">
        <v>269</v>
      </c>
      <c r="B270">
        <v>81</v>
      </c>
      <c r="C270" t="s">
        <v>37</v>
      </c>
      <c r="D270">
        <v>30455.06</v>
      </c>
      <c r="E270" t="s">
        <v>7</v>
      </c>
      <c r="F270">
        <v>2023</v>
      </c>
    </row>
    <row r="271" spans="1:6" x14ac:dyDescent="0.35">
      <c r="A271">
        <v>270</v>
      </c>
      <c r="B271">
        <v>82</v>
      </c>
      <c r="C271" t="s">
        <v>38</v>
      </c>
      <c r="D271">
        <v>64269.75</v>
      </c>
      <c r="E271" t="s">
        <v>7</v>
      </c>
      <c r="F271">
        <v>2023</v>
      </c>
    </row>
    <row r="272" spans="1:6" x14ac:dyDescent="0.35">
      <c r="A272">
        <v>271</v>
      </c>
      <c r="B272">
        <v>91</v>
      </c>
      <c r="C272" t="s">
        <v>39</v>
      </c>
      <c r="D272">
        <v>108110.28</v>
      </c>
      <c r="E272" t="s">
        <v>7</v>
      </c>
      <c r="F272">
        <v>2023</v>
      </c>
    </row>
    <row r="273" spans="1:6" x14ac:dyDescent="0.35">
      <c r="A273">
        <v>272</v>
      </c>
      <c r="B273">
        <v>92</v>
      </c>
      <c r="C273" t="s">
        <v>41</v>
      </c>
      <c r="D273">
        <v>58450.28</v>
      </c>
      <c r="E273" t="s">
        <v>7</v>
      </c>
      <c r="F273">
        <v>2023</v>
      </c>
    </row>
    <row r="274" spans="1:6" x14ac:dyDescent="0.35">
      <c r="A274">
        <v>273</v>
      </c>
      <c r="B274">
        <v>94</v>
      </c>
      <c r="C274" t="s">
        <v>40</v>
      </c>
      <c r="D274">
        <v>78055.48</v>
      </c>
      <c r="E274" t="s">
        <v>7</v>
      </c>
      <c r="F274">
        <v>2023</v>
      </c>
    </row>
    <row r="275" spans="1:6" x14ac:dyDescent="0.35">
      <c r="A275">
        <v>274</v>
      </c>
      <c r="B275">
        <v>95</v>
      </c>
      <c r="C275" t="s">
        <v>42</v>
      </c>
      <c r="D275">
        <v>58580.68</v>
      </c>
      <c r="E275" t="s">
        <v>7</v>
      </c>
      <c r="F275">
        <v>2023</v>
      </c>
    </row>
    <row r="276" spans="1:6" x14ac:dyDescent="0.35">
      <c r="A276">
        <v>275</v>
      </c>
      <c r="B276">
        <v>96</v>
      </c>
      <c r="C276" t="s">
        <v>43</v>
      </c>
      <c r="D276">
        <v>103508.09</v>
      </c>
      <c r="E276" t="s">
        <v>7</v>
      </c>
      <c r="F276">
        <v>2023</v>
      </c>
    </row>
    <row r="277" spans="1:6" x14ac:dyDescent="0.35">
      <c r="A277">
        <v>276</v>
      </c>
      <c r="B277">
        <v>97</v>
      </c>
      <c r="C277" t="s">
        <v>44</v>
      </c>
      <c r="D277">
        <v>16869.97</v>
      </c>
      <c r="E277" t="s">
        <v>7</v>
      </c>
      <c r="F277">
        <v>2023</v>
      </c>
    </row>
    <row r="278" spans="1:6" x14ac:dyDescent="0.35">
      <c r="A278" s="1">
        <v>277</v>
      </c>
      <c r="B278" s="1">
        <v>11</v>
      </c>
      <c r="C278" s="1" t="s">
        <v>6</v>
      </c>
      <c r="D278" s="1">
        <v>43782.22</v>
      </c>
      <c r="E278" s="1" t="s">
        <v>7</v>
      </c>
      <c r="F278" s="1">
        <v>2024</v>
      </c>
    </row>
    <row r="279" spans="1:6" x14ac:dyDescent="0.35">
      <c r="A279">
        <v>278</v>
      </c>
      <c r="B279">
        <v>12</v>
      </c>
      <c r="C279" t="s">
        <v>8</v>
      </c>
      <c r="D279">
        <v>73574.62</v>
      </c>
      <c r="E279" t="s">
        <v>7</v>
      </c>
      <c r="F279">
        <v>2024</v>
      </c>
    </row>
    <row r="280" spans="1:6" x14ac:dyDescent="0.35">
      <c r="A280">
        <v>279</v>
      </c>
      <c r="B280">
        <v>13</v>
      </c>
      <c r="C280" t="s">
        <v>9</v>
      </c>
      <c r="D280">
        <v>57083.09</v>
      </c>
      <c r="E280" t="s">
        <v>7</v>
      </c>
      <c r="F280">
        <v>2024</v>
      </c>
    </row>
    <row r="281" spans="1:6" x14ac:dyDescent="0.35">
      <c r="A281">
        <v>280</v>
      </c>
      <c r="B281">
        <v>14</v>
      </c>
      <c r="C281" t="s">
        <v>10</v>
      </c>
      <c r="D281">
        <v>165349.71</v>
      </c>
      <c r="E281" t="s">
        <v>7</v>
      </c>
      <c r="F281">
        <v>2024</v>
      </c>
    </row>
    <row r="282" spans="1:6" x14ac:dyDescent="0.35">
      <c r="A282">
        <v>281</v>
      </c>
      <c r="B282">
        <v>15</v>
      </c>
      <c r="C282" t="s">
        <v>11</v>
      </c>
      <c r="D282">
        <v>86774.89</v>
      </c>
      <c r="E282" t="s">
        <v>7</v>
      </c>
      <c r="F282">
        <v>2024</v>
      </c>
    </row>
    <row r="283" spans="1:6" x14ac:dyDescent="0.35">
      <c r="A283">
        <v>282</v>
      </c>
      <c r="B283">
        <v>16</v>
      </c>
      <c r="C283" t="s">
        <v>12</v>
      </c>
      <c r="D283">
        <v>75131.73</v>
      </c>
      <c r="E283" t="s">
        <v>7</v>
      </c>
      <c r="F283">
        <v>2024</v>
      </c>
    </row>
    <row r="284" spans="1:6" x14ac:dyDescent="0.35">
      <c r="A284">
        <v>283</v>
      </c>
      <c r="B284">
        <v>17</v>
      </c>
      <c r="C284" t="s">
        <v>13</v>
      </c>
      <c r="D284">
        <v>49233.120000000003</v>
      </c>
      <c r="E284" t="s">
        <v>7</v>
      </c>
      <c r="F284">
        <v>2024</v>
      </c>
    </row>
    <row r="285" spans="1:6" x14ac:dyDescent="0.35">
      <c r="A285">
        <v>284</v>
      </c>
      <c r="B285">
        <v>18</v>
      </c>
      <c r="C285" t="s">
        <v>14</v>
      </c>
      <c r="D285">
        <v>51386.84</v>
      </c>
      <c r="E285" t="s">
        <v>7</v>
      </c>
      <c r="F285">
        <v>2024</v>
      </c>
    </row>
    <row r="286" spans="1:6" x14ac:dyDescent="0.35">
      <c r="A286">
        <v>285</v>
      </c>
      <c r="B286">
        <v>19</v>
      </c>
      <c r="C286" t="s">
        <v>15</v>
      </c>
      <c r="D286">
        <v>70193.320000000007</v>
      </c>
      <c r="E286" t="s">
        <v>7</v>
      </c>
      <c r="F286">
        <v>2024</v>
      </c>
    </row>
    <row r="287" spans="1:6" x14ac:dyDescent="0.35">
      <c r="A287">
        <v>286</v>
      </c>
      <c r="B287">
        <v>21</v>
      </c>
      <c r="C287" t="s">
        <v>16</v>
      </c>
      <c r="D287">
        <v>161424.32000000001</v>
      </c>
      <c r="E287" t="s">
        <v>7</v>
      </c>
      <c r="F287">
        <v>2024</v>
      </c>
    </row>
    <row r="288" spans="1:6" x14ac:dyDescent="0.35">
      <c r="A288">
        <v>287</v>
      </c>
      <c r="B288">
        <v>31</v>
      </c>
      <c r="C288" t="s">
        <v>17</v>
      </c>
      <c r="D288">
        <v>344382.53</v>
      </c>
      <c r="E288" t="s">
        <v>7</v>
      </c>
      <c r="F288">
        <v>2024</v>
      </c>
    </row>
    <row r="289" spans="1:6" x14ac:dyDescent="0.35">
      <c r="A289">
        <v>288</v>
      </c>
      <c r="B289">
        <v>32</v>
      </c>
      <c r="C289" t="s">
        <v>18</v>
      </c>
      <c r="D289">
        <v>56081.86</v>
      </c>
      <c r="E289" t="s">
        <v>7</v>
      </c>
      <c r="F289">
        <v>2024</v>
      </c>
    </row>
    <row r="290" spans="1:6" x14ac:dyDescent="0.35">
      <c r="A290">
        <v>289</v>
      </c>
      <c r="B290">
        <v>33</v>
      </c>
      <c r="C290" t="s">
        <v>19</v>
      </c>
      <c r="D290">
        <v>47970.48</v>
      </c>
      <c r="E290" t="s">
        <v>7</v>
      </c>
      <c r="F290">
        <v>2024</v>
      </c>
    </row>
    <row r="291" spans="1:6" x14ac:dyDescent="0.35">
      <c r="A291">
        <v>290</v>
      </c>
      <c r="B291">
        <v>34</v>
      </c>
      <c r="C291" t="s">
        <v>20</v>
      </c>
      <c r="D291">
        <v>51486.05</v>
      </c>
      <c r="E291" t="s">
        <v>7</v>
      </c>
      <c r="F291">
        <v>2024</v>
      </c>
    </row>
    <row r="292" spans="1:6" x14ac:dyDescent="0.35">
      <c r="A292">
        <v>291</v>
      </c>
      <c r="B292">
        <v>35</v>
      </c>
      <c r="C292" t="s">
        <v>21</v>
      </c>
      <c r="D292">
        <v>75770.259999999995</v>
      </c>
      <c r="E292" t="s">
        <v>7</v>
      </c>
      <c r="F292">
        <v>2024</v>
      </c>
    </row>
    <row r="293" spans="1:6" x14ac:dyDescent="0.35">
      <c r="A293">
        <v>292</v>
      </c>
      <c r="B293">
        <v>36</v>
      </c>
      <c r="C293" t="s">
        <v>22</v>
      </c>
      <c r="D293">
        <v>70275.820000000007</v>
      </c>
      <c r="E293" t="s">
        <v>7</v>
      </c>
      <c r="F293">
        <v>2024</v>
      </c>
    </row>
    <row r="294" spans="1:6" x14ac:dyDescent="0.35">
      <c r="A294">
        <v>293</v>
      </c>
      <c r="B294">
        <v>51</v>
      </c>
      <c r="C294" t="s">
        <v>23</v>
      </c>
      <c r="D294">
        <v>67318.28</v>
      </c>
      <c r="E294" t="s">
        <v>7</v>
      </c>
      <c r="F294">
        <v>2024</v>
      </c>
    </row>
    <row r="295" spans="1:6" x14ac:dyDescent="0.35">
      <c r="A295">
        <v>294</v>
      </c>
      <c r="B295">
        <v>52</v>
      </c>
      <c r="C295" t="s">
        <v>24</v>
      </c>
      <c r="D295">
        <v>32282.17</v>
      </c>
      <c r="E295" t="s">
        <v>7</v>
      </c>
      <c r="F295">
        <v>2024</v>
      </c>
    </row>
    <row r="296" spans="1:6" x14ac:dyDescent="0.35">
      <c r="A296">
        <v>295</v>
      </c>
      <c r="B296">
        <v>53</v>
      </c>
      <c r="C296" t="s">
        <v>25</v>
      </c>
      <c r="D296">
        <v>24302.959999999999</v>
      </c>
      <c r="E296" t="s">
        <v>7</v>
      </c>
      <c r="F296">
        <v>2024</v>
      </c>
    </row>
    <row r="297" spans="1:6" x14ac:dyDescent="0.35">
      <c r="A297">
        <v>296</v>
      </c>
      <c r="B297">
        <v>61</v>
      </c>
      <c r="C297" t="s">
        <v>26</v>
      </c>
      <c r="D297">
        <v>52702.7</v>
      </c>
      <c r="E297" t="s">
        <v>7</v>
      </c>
      <c r="F297">
        <v>2024</v>
      </c>
    </row>
    <row r="298" spans="1:6" x14ac:dyDescent="0.35">
      <c r="A298">
        <v>297</v>
      </c>
      <c r="B298">
        <v>62</v>
      </c>
      <c r="C298" t="s">
        <v>27</v>
      </c>
      <c r="D298">
        <v>79319.73</v>
      </c>
      <c r="E298" t="s">
        <v>7</v>
      </c>
      <c r="F298">
        <v>2024</v>
      </c>
    </row>
    <row r="299" spans="1:6" x14ac:dyDescent="0.35">
      <c r="A299">
        <v>298</v>
      </c>
      <c r="B299">
        <v>63</v>
      </c>
      <c r="C299" t="s">
        <v>28</v>
      </c>
      <c r="D299">
        <v>67122.210000000006</v>
      </c>
      <c r="E299" t="s">
        <v>7</v>
      </c>
      <c r="F299">
        <v>2024</v>
      </c>
    </row>
    <row r="300" spans="1:6" x14ac:dyDescent="0.35">
      <c r="A300">
        <v>299</v>
      </c>
      <c r="B300">
        <v>64</v>
      </c>
      <c r="C300" t="s">
        <v>29</v>
      </c>
      <c r="D300">
        <v>212116.62</v>
      </c>
      <c r="E300" t="s">
        <v>7</v>
      </c>
      <c r="F300">
        <v>2024</v>
      </c>
    </row>
    <row r="301" spans="1:6" x14ac:dyDescent="0.35">
      <c r="A301">
        <v>300</v>
      </c>
      <c r="B301">
        <v>65</v>
      </c>
      <c r="C301" t="s">
        <v>30</v>
      </c>
      <c r="D301">
        <v>198676.76</v>
      </c>
      <c r="E301" t="s">
        <v>7</v>
      </c>
      <c r="F301">
        <v>2024</v>
      </c>
    </row>
    <row r="302" spans="1:6" x14ac:dyDescent="0.35">
      <c r="A302">
        <v>301</v>
      </c>
      <c r="B302">
        <v>71</v>
      </c>
      <c r="C302" t="s">
        <v>31</v>
      </c>
      <c r="D302">
        <v>69352.240000000005</v>
      </c>
      <c r="E302" t="s">
        <v>7</v>
      </c>
      <c r="F302">
        <v>2024</v>
      </c>
    </row>
    <row r="303" spans="1:6" x14ac:dyDescent="0.35">
      <c r="A303">
        <v>302</v>
      </c>
      <c r="B303">
        <v>72</v>
      </c>
      <c r="C303" t="s">
        <v>32</v>
      </c>
      <c r="D303">
        <v>120749.57</v>
      </c>
      <c r="E303" t="s">
        <v>7</v>
      </c>
      <c r="F303">
        <v>2024</v>
      </c>
    </row>
    <row r="304" spans="1:6" x14ac:dyDescent="0.35">
      <c r="A304">
        <v>303</v>
      </c>
      <c r="B304">
        <v>73</v>
      </c>
      <c r="C304" t="s">
        <v>33</v>
      </c>
      <c r="D304">
        <v>73573.33</v>
      </c>
      <c r="E304" t="s">
        <v>7</v>
      </c>
      <c r="F304">
        <v>2024</v>
      </c>
    </row>
    <row r="305" spans="1:6" x14ac:dyDescent="0.35">
      <c r="A305">
        <v>304</v>
      </c>
      <c r="B305">
        <v>74</v>
      </c>
      <c r="C305" t="s">
        <v>34</v>
      </c>
      <c r="D305">
        <v>67839.91</v>
      </c>
      <c r="E305" t="s">
        <v>7</v>
      </c>
      <c r="F305">
        <v>2024</v>
      </c>
    </row>
    <row r="306" spans="1:6" x14ac:dyDescent="0.35">
      <c r="A306">
        <v>305</v>
      </c>
      <c r="B306">
        <v>75</v>
      </c>
      <c r="C306" t="s">
        <v>35</v>
      </c>
      <c r="D306">
        <v>44437.14</v>
      </c>
      <c r="E306" t="s">
        <v>7</v>
      </c>
      <c r="F306">
        <v>2024</v>
      </c>
    </row>
    <row r="307" spans="1:6" x14ac:dyDescent="0.35">
      <c r="A307">
        <v>306</v>
      </c>
      <c r="B307">
        <v>76</v>
      </c>
      <c r="C307" t="s">
        <v>36</v>
      </c>
      <c r="D307">
        <v>42717.73</v>
      </c>
      <c r="E307" t="s">
        <v>7</v>
      </c>
      <c r="F307">
        <v>2024</v>
      </c>
    </row>
    <row r="308" spans="1:6" x14ac:dyDescent="0.35">
      <c r="A308">
        <v>307</v>
      </c>
      <c r="B308">
        <v>81</v>
      </c>
      <c r="C308" t="s">
        <v>37</v>
      </c>
      <c r="D308">
        <v>32198.79</v>
      </c>
      <c r="E308" t="s">
        <v>7</v>
      </c>
      <c r="F308">
        <v>2024</v>
      </c>
    </row>
    <row r="309" spans="1:6" x14ac:dyDescent="0.35">
      <c r="A309">
        <v>308</v>
      </c>
      <c r="B309">
        <v>82</v>
      </c>
      <c r="C309" t="s">
        <v>38</v>
      </c>
      <c r="D309">
        <v>71516.58</v>
      </c>
      <c r="E309" t="s">
        <v>7</v>
      </c>
      <c r="F309">
        <v>2024</v>
      </c>
    </row>
    <row r="310" spans="1:6" x14ac:dyDescent="0.35">
      <c r="A310">
        <v>309</v>
      </c>
      <c r="B310">
        <v>91</v>
      </c>
      <c r="C310" t="s">
        <v>39</v>
      </c>
      <c r="D310">
        <v>131636.45000000001</v>
      </c>
      <c r="E310" t="s">
        <v>7</v>
      </c>
      <c r="F310">
        <v>2024</v>
      </c>
    </row>
    <row r="311" spans="1:6" x14ac:dyDescent="0.35">
      <c r="A311">
        <v>310</v>
      </c>
      <c r="B311">
        <v>92</v>
      </c>
      <c r="C311" t="s">
        <v>41</v>
      </c>
      <c r="D311">
        <v>59063.54</v>
      </c>
      <c r="E311" t="s">
        <v>7</v>
      </c>
      <c r="F311">
        <v>2024</v>
      </c>
    </row>
    <row r="312" spans="1:6" x14ac:dyDescent="0.35">
      <c r="A312">
        <v>311</v>
      </c>
      <c r="B312">
        <v>94</v>
      </c>
      <c r="C312" t="s">
        <v>40</v>
      </c>
      <c r="D312">
        <v>81009.149999999994</v>
      </c>
      <c r="E312" t="s">
        <v>7</v>
      </c>
      <c r="F312">
        <v>2024</v>
      </c>
    </row>
    <row r="313" spans="1:6" x14ac:dyDescent="0.35">
      <c r="A313">
        <v>312</v>
      </c>
      <c r="B313">
        <v>95</v>
      </c>
      <c r="C313" t="s">
        <v>42</v>
      </c>
      <c r="D313">
        <v>61621.8</v>
      </c>
      <c r="E313" t="s">
        <v>7</v>
      </c>
      <c r="F313">
        <v>2024</v>
      </c>
    </row>
    <row r="314" spans="1:6" x14ac:dyDescent="0.35">
      <c r="A314">
        <v>313</v>
      </c>
      <c r="B314">
        <v>96</v>
      </c>
      <c r="C314" t="s">
        <v>43</v>
      </c>
      <c r="D314">
        <v>118773.53</v>
      </c>
      <c r="E314" t="s">
        <v>7</v>
      </c>
      <c r="F314">
        <v>2024</v>
      </c>
    </row>
    <row r="315" spans="1:6" x14ac:dyDescent="0.35">
      <c r="A315">
        <v>314</v>
      </c>
      <c r="B315">
        <v>97</v>
      </c>
      <c r="C315" t="s">
        <v>44</v>
      </c>
      <c r="D315">
        <v>18105.38</v>
      </c>
      <c r="E315" t="s">
        <v>7</v>
      </c>
      <c r="F315">
        <v>2024</v>
      </c>
    </row>
    <row r="316" spans="1:6" x14ac:dyDescent="0.35">
      <c r="A316" s="1">
        <v>315</v>
      </c>
      <c r="B316" s="1">
        <v>11</v>
      </c>
      <c r="C316" s="1" t="s">
        <v>6</v>
      </c>
      <c r="D316" s="1">
        <v>45770.400000000001</v>
      </c>
      <c r="E316" s="1" t="s">
        <v>7</v>
      </c>
      <c r="F316" s="1">
        <v>2025</v>
      </c>
    </row>
    <row r="317" spans="1:6" x14ac:dyDescent="0.35">
      <c r="A317">
        <v>316</v>
      </c>
      <c r="B317">
        <v>12</v>
      </c>
      <c r="C317" t="s">
        <v>8</v>
      </c>
      <c r="D317">
        <v>78310.289999999994</v>
      </c>
      <c r="E317" t="s">
        <v>7</v>
      </c>
      <c r="F317">
        <v>2025</v>
      </c>
    </row>
    <row r="318" spans="1:6" x14ac:dyDescent="0.35">
      <c r="A318">
        <v>317</v>
      </c>
      <c r="B318">
        <v>13</v>
      </c>
      <c r="C318" t="s">
        <v>9</v>
      </c>
      <c r="D318">
        <v>59548.83</v>
      </c>
      <c r="E318" t="s">
        <v>7</v>
      </c>
      <c r="F318">
        <v>2025</v>
      </c>
    </row>
    <row r="319" spans="1:6" x14ac:dyDescent="0.35">
      <c r="A319">
        <v>318</v>
      </c>
      <c r="B319">
        <v>14</v>
      </c>
      <c r="C319" t="s">
        <v>10</v>
      </c>
      <c r="D319">
        <v>176384.66</v>
      </c>
      <c r="E319" t="s">
        <v>7</v>
      </c>
      <c r="F319">
        <v>2025</v>
      </c>
    </row>
    <row r="320" spans="1:6" x14ac:dyDescent="0.35">
      <c r="A320">
        <v>319</v>
      </c>
      <c r="B320">
        <v>15</v>
      </c>
      <c r="C320" t="s">
        <v>11</v>
      </c>
      <c r="D320">
        <v>92786.06</v>
      </c>
      <c r="E320" t="s">
        <v>7</v>
      </c>
      <c r="F320">
        <v>2025</v>
      </c>
    </row>
    <row r="321" spans="1:6" x14ac:dyDescent="0.35">
      <c r="A321">
        <v>320</v>
      </c>
      <c r="B321">
        <v>16</v>
      </c>
      <c r="C321" t="s">
        <v>12</v>
      </c>
      <c r="D321">
        <v>80663.490000000005</v>
      </c>
      <c r="E321" t="s">
        <v>7</v>
      </c>
      <c r="F321">
        <v>2025</v>
      </c>
    </row>
    <row r="322" spans="1:6" x14ac:dyDescent="0.35">
      <c r="A322">
        <v>321</v>
      </c>
      <c r="B322">
        <v>17</v>
      </c>
      <c r="C322" t="s">
        <v>13</v>
      </c>
      <c r="D322">
        <v>52304.54</v>
      </c>
      <c r="E322" t="s">
        <v>7</v>
      </c>
      <c r="F322">
        <v>2025</v>
      </c>
    </row>
    <row r="323" spans="1:6" x14ac:dyDescent="0.35">
      <c r="A323">
        <v>322</v>
      </c>
      <c r="B323">
        <v>18</v>
      </c>
      <c r="C323" t="s">
        <v>14</v>
      </c>
      <c r="D323">
        <v>55009.07</v>
      </c>
      <c r="E323" t="s">
        <v>7</v>
      </c>
      <c r="F323">
        <v>2025</v>
      </c>
    </row>
    <row r="324" spans="1:6" x14ac:dyDescent="0.35">
      <c r="A324">
        <v>323</v>
      </c>
      <c r="B324">
        <v>19</v>
      </c>
      <c r="C324" t="s">
        <v>15</v>
      </c>
      <c r="D324">
        <v>75322.53</v>
      </c>
      <c r="E324" t="s">
        <v>7</v>
      </c>
      <c r="F324">
        <v>2025</v>
      </c>
    </row>
    <row r="325" spans="1:6" x14ac:dyDescent="0.35">
      <c r="A325">
        <v>324</v>
      </c>
      <c r="B325">
        <v>21</v>
      </c>
      <c r="C325" t="s">
        <v>16</v>
      </c>
      <c r="D325">
        <v>172458.76</v>
      </c>
      <c r="E325" t="s">
        <v>7</v>
      </c>
      <c r="F325">
        <v>2025</v>
      </c>
    </row>
    <row r="326" spans="1:6" x14ac:dyDescent="0.35">
      <c r="A326">
        <v>325</v>
      </c>
      <c r="B326">
        <v>31</v>
      </c>
      <c r="C326" t="s">
        <v>17</v>
      </c>
      <c r="D326">
        <v>367687.07</v>
      </c>
      <c r="E326" t="s">
        <v>7</v>
      </c>
      <c r="F326">
        <v>2025</v>
      </c>
    </row>
    <row r="327" spans="1:6" x14ac:dyDescent="0.35">
      <c r="A327">
        <v>326</v>
      </c>
      <c r="B327">
        <v>32</v>
      </c>
      <c r="C327" t="s">
        <v>18</v>
      </c>
      <c r="D327">
        <v>59864.61</v>
      </c>
      <c r="E327" t="s">
        <v>7</v>
      </c>
      <c r="F327">
        <v>2025</v>
      </c>
    </row>
    <row r="328" spans="1:6" x14ac:dyDescent="0.35">
      <c r="A328">
        <v>327</v>
      </c>
      <c r="B328">
        <v>33</v>
      </c>
      <c r="C328" t="s">
        <v>19</v>
      </c>
      <c r="D328">
        <v>50823.64</v>
      </c>
      <c r="E328" t="s">
        <v>7</v>
      </c>
      <c r="F328">
        <v>2025</v>
      </c>
    </row>
    <row r="329" spans="1:6" x14ac:dyDescent="0.35">
      <c r="A329">
        <v>328</v>
      </c>
      <c r="B329">
        <v>34</v>
      </c>
      <c r="C329" t="s">
        <v>20</v>
      </c>
      <c r="D329">
        <v>55039.3</v>
      </c>
      <c r="E329" t="s">
        <v>7</v>
      </c>
      <c r="F329">
        <v>2025</v>
      </c>
    </row>
    <row r="330" spans="1:6" x14ac:dyDescent="0.35">
      <c r="A330">
        <v>329</v>
      </c>
      <c r="B330">
        <v>35</v>
      </c>
      <c r="C330" t="s">
        <v>21</v>
      </c>
      <c r="D330">
        <v>80855.92</v>
      </c>
      <c r="E330" t="s">
        <v>7</v>
      </c>
      <c r="F330">
        <v>2025</v>
      </c>
    </row>
    <row r="331" spans="1:6" x14ac:dyDescent="0.35">
      <c r="A331">
        <v>330</v>
      </c>
      <c r="B331">
        <v>36</v>
      </c>
      <c r="C331" t="s">
        <v>22</v>
      </c>
      <c r="D331">
        <v>74672.679999999993</v>
      </c>
      <c r="E331" t="s">
        <v>7</v>
      </c>
      <c r="F331">
        <v>2025</v>
      </c>
    </row>
    <row r="332" spans="1:6" x14ac:dyDescent="0.35">
      <c r="A332">
        <v>331</v>
      </c>
      <c r="B332">
        <v>51</v>
      </c>
      <c r="C332" t="s">
        <v>23</v>
      </c>
      <c r="D332">
        <v>72658.490000000005</v>
      </c>
      <c r="E332" t="s">
        <v>7</v>
      </c>
      <c r="F332">
        <v>2025</v>
      </c>
    </row>
    <row r="333" spans="1:6" x14ac:dyDescent="0.35">
      <c r="A333">
        <v>332</v>
      </c>
      <c r="B333">
        <v>52</v>
      </c>
      <c r="C333" t="s">
        <v>24</v>
      </c>
      <c r="D333">
        <v>33667.410000000003</v>
      </c>
      <c r="E333" t="s">
        <v>7</v>
      </c>
      <c r="F333">
        <v>2025</v>
      </c>
    </row>
    <row r="334" spans="1:6" x14ac:dyDescent="0.35">
      <c r="A334">
        <v>333</v>
      </c>
      <c r="B334">
        <v>53</v>
      </c>
      <c r="C334" t="s">
        <v>25</v>
      </c>
      <c r="D334">
        <v>25837.48</v>
      </c>
      <c r="E334" t="s">
        <v>7</v>
      </c>
      <c r="F334">
        <v>2025</v>
      </c>
    </row>
    <row r="335" spans="1:6" x14ac:dyDescent="0.35">
      <c r="A335">
        <v>334</v>
      </c>
      <c r="B335">
        <v>61</v>
      </c>
      <c r="C335" t="s">
        <v>26</v>
      </c>
      <c r="D335">
        <v>56983.66</v>
      </c>
      <c r="E335" t="s">
        <v>7</v>
      </c>
      <c r="F335">
        <v>2025</v>
      </c>
    </row>
    <row r="336" spans="1:6" x14ac:dyDescent="0.35">
      <c r="A336">
        <v>335</v>
      </c>
      <c r="B336">
        <v>62</v>
      </c>
      <c r="C336" t="s">
        <v>27</v>
      </c>
      <c r="D336">
        <v>84729.84</v>
      </c>
      <c r="E336" t="s">
        <v>7</v>
      </c>
      <c r="F336">
        <v>2025</v>
      </c>
    </row>
    <row r="337" spans="1:6" x14ac:dyDescent="0.35">
      <c r="A337">
        <v>336</v>
      </c>
      <c r="B337">
        <v>63</v>
      </c>
      <c r="C337" t="s">
        <v>28</v>
      </c>
      <c r="D337">
        <v>70576.83</v>
      </c>
      <c r="E337" t="s">
        <v>7</v>
      </c>
      <c r="F337">
        <v>2025</v>
      </c>
    </row>
    <row r="338" spans="1:6" x14ac:dyDescent="0.35">
      <c r="A338">
        <v>337</v>
      </c>
      <c r="B338">
        <v>64</v>
      </c>
      <c r="C338" t="s">
        <v>29</v>
      </c>
      <c r="D338">
        <v>208330.9</v>
      </c>
      <c r="E338" t="s">
        <v>7</v>
      </c>
      <c r="F338">
        <v>2025</v>
      </c>
    </row>
    <row r="339" spans="1:6" x14ac:dyDescent="0.35">
      <c r="A339">
        <v>338</v>
      </c>
      <c r="B339">
        <v>65</v>
      </c>
      <c r="C339" t="s">
        <v>30</v>
      </c>
      <c r="D339">
        <v>208210.06</v>
      </c>
      <c r="E339" t="s">
        <v>7</v>
      </c>
      <c r="F339">
        <v>2025</v>
      </c>
    </row>
    <row r="340" spans="1:6" x14ac:dyDescent="0.35">
      <c r="A340">
        <v>339</v>
      </c>
      <c r="B340">
        <v>71</v>
      </c>
      <c r="C340" t="s">
        <v>31</v>
      </c>
      <c r="D340">
        <v>75234.91</v>
      </c>
      <c r="E340" t="s">
        <v>7</v>
      </c>
      <c r="F340">
        <v>2025</v>
      </c>
    </row>
    <row r="341" spans="1:6" x14ac:dyDescent="0.35">
      <c r="A341">
        <v>340</v>
      </c>
      <c r="B341">
        <v>72</v>
      </c>
      <c r="C341" t="s">
        <v>32</v>
      </c>
      <c r="D341">
        <v>131642.51999999999</v>
      </c>
      <c r="E341" t="s">
        <v>7</v>
      </c>
      <c r="F341">
        <v>2025</v>
      </c>
    </row>
    <row r="342" spans="1:6" x14ac:dyDescent="0.35">
      <c r="A342">
        <v>341</v>
      </c>
      <c r="B342">
        <v>73</v>
      </c>
      <c r="C342" t="s">
        <v>33</v>
      </c>
      <c r="D342">
        <v>78748</v>
      </c>
      <c r="E342" t="s">
        <v>7</v>
      </c>
      <c r="F342">
        <v>2025</v>
      </c>
    </row>
    <row r="343" spans="1:6" x14ac:dyDescent="0.35">
      <c r="A343">
        <v>342</v>
      </c>
      <c r="B343">
        <v>74</v>
      </c>
      <c r="C343" t="s">
        <v>34</v>
      </c>
      <c r="D343">
        <v>72031.179999999993</v>
      </c>
      <c r="E343" t="s">
        <v>7</v>
      </c>
      <c r="F343">
        <v>2025</v>
      </c>
    </row>
    <row r="344" spans="1:6" x14ac:dyDescent="0.35">
      <c r="A344">
        <v>343</v>
      </c>
      <c r="B344">
        <v>75</v>
      </c>
      <c r="C344" t="s">
        <v>35</v>
      </c>
      <c r="D344">
        <v>47476.82</v>
      </c>
      <c r="E344" t="s">
        <v>7</v>
      </c>
      <c r="F344">
        <v>2025</v>
      </c>
    </row>
    <row r="345" spans="1:6" x14ac:dyDescent="0.35">
      <c r="A345">
        <v>344</v>
      </c>
      <c r="B345">
        <v>76</v>
      </c>
      <c r="C345" t="s">
        <v>36</v>
      </c>
      <c r="D345">
        <v>46653.64</v>
      </c>
      <c r="E345" t="s">
        <v>7</v>
      </c>
      <c r="F345">
        <v>2025</v>
      </c>
    </row>
    <row r="346" spans="1:6" x14ac:dyDescent="0.35">
      <c r="A346">
        <v>345</v>
      </c>
      <c r="B346">
        <v>81</v>
      </c>
      <c r="C346" t="s">
        <v>37</v>
      </c>
      <c r="D346">
        <v>33651.870000000003</v>
      </c>
      <c r="E346" t="s">
        <v>7</v>
      </c>
      <c r="F346">
        <v>2025</v>
      </c>
    </row>
    <row r="347" spans="1:6" x14ac:dyDescent="0.35">
      <c r="A347">
        <v>346</v>
      </c>
      <c r="B347">
        <v>82</v>
      </c>
      <c r="C347" t="s">
        <v>38</v>
      </c>
      <c r="D347">
        <v>97261.6</v>
      </c>
      <c r="E347" t="s">
        <v>7</v>
      </c>
      <c r="F347">
        <v>2025</v>
      </c>
    </row>
    <row r="348" spans="1:6" x14ac:dyDescent="0.35">
      <c r="A348">
        <v>347</v>
      </c>
      <c r="B348">
        <v>91</v>
      </c>
      <c r="C348" t="s">
        <v>39</v>
      </c>
      <c r="D348">
        <v>139212.56</v>
      </c>
      <c r="E348" t="s">
        <v>7</v>
      </c>
      <c r="F348">
        <v>2025</v>
      </c>
    </row>
    <row r="349" spans="1:6" x14ac:dyDescent="0.35">
      <c r="A349">
        <v>348</v>
      </c>
      <c r="B349">
        <v>92</v>
      </c>
      <c r="C349" t="s">
        <v>41</v>
      </c>
      <c r="D349">
        <v>61624.05</v>
      </c>
      <c r="E349" t="s">
        <v>7</v>
      </c>
      <c r="F349">
        <v>2025</v>
      </c>
    </row>
    <row r="350" spans="1:6" x14ac:dyDescent="0.35">
      <c r="A350">
        <v>349</v>
      </c>
      <c r="B350">
        <v>94</v>
      </c>
      <c r="C350" t="s">
        <v>40</v>
      </c>
      <c r="D350">
        <v>84305.2</v>
      </c>
      <c r="E350" t="s">
        <v>7</v>
      </c>
      <c r="F350">
        <v>2025</v>
      </c>
    </row>
    <row r="351" spans="1:6" x14ac:dyDescent="0.35">
      <c r="A351">
        <v>350</v>
      </c>
      <c r="B351">
        <v>95</v>
      </c>
      <c r="C351" t="s">
        <v>42</v>
      </c>
      <c r="D351">
        <v>64928.23</v>
      </c>
      <c r="E351" t="s">
        <v>7</v>
      </c>
      <c r="F351">
        <v>2025</v>
      </c>
    </row>
    <row r="352" spans="1:6" x14ac:dyDescent="0.35">
      <c r="A352">
        <v>351</v>
      </c>
      <c r="B352">
        <v>96</v>
      </c>
      <c r="C352" t="s">
        <v>43</v>
      </c>
      <c r="D352">
        <v>107565.94</v>
      </c>
      <c r="E352" t="s">
        <v>7</v>
      </c>
      <c r="F352">
        <v>2025</v>
      </c>
    </row>
    <row r="353" spans="1:6" x14ac:dyDescent="0.35">
      <c r="A353">
        <v>352</v>
      </c>
      <c r="B353">
        <v>97</v>
      </c>
      <c r="C353" t="s">
        <v>44</v>
      </c>
      <c r="D353">
        <v>19111.439999999999</v>
      </c>
      <c r="E353" t="s">
        <v>7</v>
      </c>
      <c r="F353">
        <v>2025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DCD87-A73C-47E1-98C9-81B480F778BC}">
  <dimension ref="A1:DZ11"/>
  <sheetViews>
    <sheetView workbookViewId="0">
      <selection activeCell="A2" sqref="A2"/>
    </sheetView>
  </sheetViews>
  <sheetFormatPr defaultRowHeight="14.5" x14ac:dyDescent="0.35"/>
  <sheetData>
    <row r="1" spans="1:130" x14ac:dyDescent="0.35">
      <c r="A1" t="s">
        <v>254</v>
      </c>
    </row>
    <row r="2" spans="1:130" ht="15" thickBot="1" x14ac:dyDescent="0.4">
      <c r="A2" s="9" t="s">
        <v>71</v>
      </c>
      <c r="B2" s="10" t="s">
        <v>72</v>
      </c>
      <c r="C2" s="10" t="s">
        <v>73</v>
      </c>
      <c r="D2" s="10" t="s">
        <v>74</v>
      </c>
      <c r="E2" s="10" t="s">
        <v>75</v>
      </c>
      <c r="F2" s="10" t="s">
        <v>76</v>
      </c>
      <c r="G2" s="10" t="s">
        <v>77</v>
      </c>
      <c r="H2" s="10" t="s">
        <v>78</v>
      </c>
      <c r="I2" s="10" t="s">
        <v>79</v>
      </c>
      <c r="J2" s="10" t="s">
        <v>80</v>
      </c>
      <c r="K2" s="10" t="s">
        <v>81</v>
      </c>
      <c r="L2" s="10" t="s">
        <v>82</v>
      </c>
      <c r="M2" s="10" t="s">
        <v>83</v>
      </c>
      <c r="N2" s="10" t="s">
        <v>84</v>
      </c>
      <c r="O2" s="10" t="s">
        <v>85</v>
      </c>
      <c r="P2" s="10" t="s">
        <v>86</v>
      </c>
      <c r="Q2" s="10" t="s">
        <v>87</v>
      </c>
      <c r="R2" s="10" t="s">
        <v>88</v>
      </c>
      <c r="S2" s="10" t="s">
        <v>89</v>
      </c>
      <c r="T2" s="10" t="s">
        <v>90</v>
      </c>
      <c r="U2" s="10" t="s">
        <v>91</v>
      </c>
      <c r="V2" s="10" t="s">
        <v>92</v>
      </c>
      <c r="W2" s="10" t="s">
        <v>93</v>
      </c>
      <c r="X2" s="10" t="s">
        <v>94</v>
      </c>
      <c r="Y2" s="10" t="s">
        <v>95</v>
      </c>
      <c r="Z2" s="10" t="s">
        <v>96</v>
      </c>
      <c r="AA2" s="10" t="s">
        <v>97</v>
      </c>
      <c r="AB2" s="10" t="s">
        <v>98</v>
      </c>
      <c r="AC2" s="10" t="s">
        <v>99</v>
      </c>
      <c r="AD2" s="10" t="s">
        <v>100</v>
      </c>
      <c r="AE2" s="10" t="s">
        <v>101</v>
      </c>
      <c r="AF2" s="10" t="s">
        <v>102</v>
      </c>
      <c r="AG2" s="10" t="s">
        <v>103</v>
      </c>
      <c r="AH2" s="10" t="s">
        <v>104</v>
      </c>
      <c r="AI2" s="10" t="s">
        <v>105</v>
      </c>
      <c r="AJ2" s="10" t="s">
        <v>106</v>
      </c>
      <c r="AK2" s="10" t="s">
        <v>107</v>
      </c>
      <c r="AL2" s="10" t="s">
        <v>108</v>
      </c>
      <c r="AM2" s="10" t="s">
        <v>109</v>
      </c>
      <c r="AN2" s="10" t="s">
        <v>110</v>
      </c>
      <c r="AO2" s="10" t="s">
        <v>111</v>
      </c>
      <c r="AP2" s="10" t="s">
        <v>112</v>
      </c>
      <c r="AQ2" s="10" t="s">
        <v>113</v>
      </c>
      <c r="AR2" s="10" t="s">
        <v>114</v>
      </c>
      <c r="AS2" s="10" t="s">
        <v>115</v>
      </c>
      <c r="AT2" s="10" t="s">
        <v>116</v>
      </c>
      <c r="AU2" s="10" t="s">
        <v>117</v>
      </c>
      <c r="AV2" s="10" t="s">
        <v>118</v>
      </c>
      <c r="AW2" s="10" t="s">
        <v>119</v>
      </c>
      <c r="AX2" s="10" t="s">
        <v>120</v>
      </c>
      <c r="AY2" s="10" t="s">
        <v>121</v>
      </c>
      <c r="AZ2" s="10" t="s">
        <v>122</v>
      </c>
      <c r="BA2" s="10" t="s">
        <v>123</v>
      </c>
      <c r="BB2" s="10" t="s">
        <v>124</v>
      </c>
      <c r="BC2" s="10" t="s">
        <v>125</v>
      </c>
      <c r="BD2" s="10" t="s">
        <v>126</v>
      </c>
      <c r="BE2" s="10" t="s">
        <v>127</v>
      </c>
      <c r="BF2" s="10" t="s">
        <v>128</v>
      </c>
      <c r="BG2" s="10" t="s">
        <v>129</v>
      </c>
      <c r="BH2" s="10" t="s">
        <v>130</v>
      </c>
      <c r="BI2" s="10" t="s">
        <v>131</v>
      </c>
      <c r="BJ2" s="10" t="s">
        <v>132</v>
      </c>
      <c r="BK2" s="10" t="s">
        <v>133</v>
      </c>
      <c r="BL2" s="10" t="s">
        <v>134</v>
      </c>
      <c r="BM2" s="10" t="s">
        <v>135</v>
      </c>
      <c r="BN2" s="10" t="s">
        <v>136</v>
      </c>
      <c r="BO2" s="10" t="s">
        <v>137</v>
      </c>
      <c r="BP2" s="10" t="s">
        <v>138</v>
      </c>
      <c r="BQ2" s="10" t="s">
        <v>139</v>
      </c>
      <c r="BR2" s="10" t="s">
        <v>140</v>
      </c>
      <c r="BS2" s="10" t="s">
        <v>141</v>
      </c>
      <c r="BT2" s="10" t="s">
        <v>142</v>
      </c>
      <c r="BU2" s="10" t="s">
        <v>143</v>
      </c>
      <c r="BV2" s="10" t="s">
        <v>144</v>
      </c>
      <c r="BW2" s="10" t="s">
        <v>145</v>
      </c>
      <c r="BX2" s="10" t="s">
        <v>146</v>
      </c>
      <c r="BY2" s="10" t="s">
        <v>147</v>
      </c>
      <c r="BZ2" s="10" t="s">
        <v>148</v>
      </c>
      <c r="CA2" s="10" t="s">
        <v>149</v>
      </c>
      <c r="CB2" s="10" t="s">
        <v>150</v>
      </c>
      <c r="CC2" s="10" t="s">
        <v>151</v>
      </c>
      <c r="CD2" s="10" t="s">
        <v>152</v>
      </c>
      <c r="CE2" s="10" t="s">
        <v>153</v>
      </c>
      <c r="CF2" s="10" t="s">
        <v>154</v>
      </c>
      <c r="CG2" s="10" t="s">
        <v>155</v>
      </c>
      <c r="CH2" s="10" t="s">
        <v>156</v>
      </c>
      <c r="CI2" s="10" t="s">
        <v>157</v>
      </c>
      <c r="CJ2" s="10" t="s">
        <v>158</v>
      </c>
      <c r="CK2" s="10" t="s">
        <v>159</v>
      </c>
      <c r="CL2" s="10" t="s">
        <v>160</v>
      </c>
      <c r="CM2" s="10" t="s">
        <v>161</v>
      </c>
      <c r="CN2" s="10" t="s">
        <v>162</v>
      </c>
      <c r="CO2" s="10" t="s">
        <v>163</v>
      </c>
      <c r="CP2" s="10" t="s">
        <v>164</v>
      </c>
      <c r="CQ2" s="10" t="s">
        <v>165</v>
      </c>
      <c r="CR2" s="10" t="s">
        <v>166</v>
      </c>
      <c r="CS2" s="10" t="s">
        <v>167</v>
      </c>
      <c r="CT2" s="10" t="s">
        <v>168</v>
      </c>
      <c r="CU2" s="10" t="s">
        <v>169</v>
      </c>
      <c r="CV2" s="10" t="s">
        <v>170</v>
      </c>
      <c r="CW2" s="10" t="s">
        <v>171</v>
      </c>
      <c r="CX2" s="10" t="s">
        <v>172</v>
      </c>
      <c r="CY2" s="10" t="s">
        <v>173</v>
      </c>
      <c r="CZ2" s="10" t="s">
        <v>174</v>
      </c>
      <c r="DA2" s="10" t="s">
        <v>175</v>
      </c>
      <c r="DB2" s="10" t="s">
        <v>176</v>
      </c>
      <c r="DC2" s="10" t="s">
        <v>177</v>
      </c>
      <c r="DD2" s="10" t="s">
        <v>178</v>
      </c>
      <c r="DE2" s="10" t="s">
        <v>179</v>
      </c>
      <c r="DF2" s="10" t="s">
        <v>180</v>
      </c>
      <c r="DG2" s="10" t="s">
        <v>181</v>
      </c>
      <c r="DH2" s="10" t="s">
        <v>182</v>
      </c>
      <c r="DI2" s="10" t="s">
        <v>183</v>
      </c>
      <c r="DJ2" s="10" t="s">
        <v>184</v>
      </c>
      <c r="DK2" s="10" t="s">
        <v>185</v>
      </c>
      <c r="DL2" s="10" t="s">
        <v>186</v>
      </c>
      <c r="DM2" s="10" t="s">
        <v>187</v>
      </c>
      <c r="DN2" s="10" t="s">
        <v>188</v>
      </c>
      <c r="DO2" s="10" t="s">
        <v>189</v>
      </c>
      <c r="DP2" s="10" t="s">
        <v>190</v>
      </c>
      <c r="DQ2" s="10" t="s">
        <v>191</v>
      </c>
      <c r="DR2" s="10" t="s">
        <v>192</v>
      </c>
      <c r="DS2" s="10" t="s">
        <v>193</v>
      </c>
      <c r="DT2" s="10" t="s">
        <v>194</v>
      </c>
      <c r="DU2" s="10" t="s">
        <v>195</v>
      </c>
      <c r="DV2" s="10" t="s">
        <v>196</v>
      </c>
      <c r="DW2" s="10" t="s">
        <v>197</v>
      </c>
      <c r="DX2" s="10" t="s">
        <v>198</v>
      </c>
      <c r="DY2" s="10" t="s">
        <v>199</v>
      </c>
      <c r="DZ2" s="11" t="s">
        <v>200</v>
      </c>
    </row>
    <row r="3" spans="1:130" ht="15" thickTop="1" x14ac:dyDescent="0.35">
      <c r="A3" s="16" t="s">
        <v>201</v>
      </c>
      <c r="B3" s="12">
        <v>2016</v>
      </c>
      <c r="C3" s="17" t="s">
        <v>202</v>
      </c>
      <c r="D3" s="12">
        <v>264627429</v>
      </c>
      <c r="E3" s="12">
        <v>2819889903036</v>
      </c>
      <c r="F3" s="12">
        <v>228.74317932128909</v>
      </c>
      <c r="G3" s="12">
        <v>19.1375617980957</v>
      </c>
      <c r="H3" s="12">
        <v>103.9346542358398</v>
      </c>
      <c r="I3" s="12">
        <v>27.503959655761719</v>
      </c>
      <c r="J3" s="12">
        <v>39</v>
      </c>
      <c r="K3" s="12">
        <v>10.210000038146971</v>
      </c>
      <c r="L3" s="12">
        <v>3.964278936386108</v>
      </c>
      <c r="M3" s="12">
        <v>1.45751965045929</v>
      </c>
      <c r="N3" s="12">
        <v>689.030029296875</v>
      </c>
      <c r="O3" s="12">
        <v>2.2624130249023442</v>
      </c>
      <c r="P3" s="12">
        <v>12.042236328125</v>
      </c>
      <c r="Q3" s="12">
        <v>2056.915283203125</v>
      </c>
      <c r="R3" s="12">
        <v>544.31622314453125</v>
      </c>
      <c r="S3" s="12">
        <v>511.58718872070313</v>
      </c>
      <c r="T3" s="12">
        <v>135.3800048828125</v>
      </c>
      <c r="U3" s="12">
        <v>-3.0970335006713872</v>
      </c>
      <c r="V3" s="12">
        <v>-87.64453125</v>
      </c>
      <c r="W3" s="12">
        <v>10362.8955078125</v>
      </c>
      <c r="X3" s="12">
        <v>2742.306396484375</v>
      </c>
      <c r="Y3" s="12">
        <v>52.564556121826172</v>
      </c>
      <c r="Z3" s="12">
        <v>28.84499359130859</v>
      </c>
      <c r="AA3" s="12">
        <v>258.239990234375</v>
      </c>
      <c r="AB3" s="12">
        <v>975.862548828125</v>
      </c>
      <c r="AC3" s="12">
        <v>257.54998779296881</v>
      </c>
      <c r="AD3" s="12">
        <v>13.96320724487305</v>
      </c>
      <c r="AE3" s="12">
        <v>-0.64502596855163574</v>
      </c>
      <c r="AF3" s="12">
        <v>-12.232666015625</v>
      </c>
      <c r="AG3" s="12">
        <v>7120.306640625</v>
      </c>
      <c r="AH3" s="12">
        <v>0.66819220781326294</v>
      </c>
      <c r="AI3" s="12">
        <v>-2.5331470966339111</v>
      </c>
      <c r="AJ3" s="12">
        <v>-46.194488525390618</v>
      </c>
      <c r="AK3" s="12">
        <v>823.68634033203125</v>
      </c>
      <c r="AL3" s="12">
        <v>217.9700012207031</v>
      </c>
      <c r="AM3" s="12">
        <v>6716.63671875</v>
      </c>
      <c r="AN3" s="12">
        <v>1777.40625</v>
      </c>
      <c r="AO3" s="12">
        <v>84.632118225097656</v>
      </c>
      <c r="AP3" s="12">
        <v>94.190238952636719</v>
      </c>
      <c r="AQ3" s="12">
        <v>-6.1996994018554688</v>
      </c>
      <c r="AR3" s="12">
        <v>-29.090850830078121</v>
      </c>
      <c r="AS3" s="12">
        <v>440.13916015625</v>
      </c>
      <c r="AT3" s="12">
        <v>233</v>
      </c>
      <c r="AU3" s="12">
        <v>61.790000915527337</v>
      </c>
      <c r="AV3" s="12">
        <v>1663.240844726562</v>
      </c>
      <c r="AW3" s="12">
        <v>-1.580918550491333</v>
      </c>
      <c r="AX3" s="12">
        <v>-13.69830322265625</v>
      </c>
      <c r="AY3" s="12">
        <v>3222.5654296875</v>
      </c>
      <c r="AZ3" s="12">
        <v>852.7791748046875</v>
      </c>
      <c r="BA3" s="12">
        <v>23.991458892822269</v>
      </c>
      <c r="BB3" s="12">
        <v>23.324331283569339</v>
      </c>
      <c r="BC3" s="12">
        <v>177.46000671386719</v>
      </c>
      <c r="BD3" s="12">
        <v>35.925537109375</v>
      </c>
      <c r="BE3" s="12">
        <v>12.14070510864258</v>
      </c>
      <c r="BF3" s="12">
        <v>46.926856994628913</v>
      </c>
      <c r="BG3" s="12">
        <v>70.589813232421875</v>
      </c>
      <c r="BH3" s="12">
        <v>18.680000305175781</v>
      </c>
      <c r="BI3" s="12">
        <v>177.33180236816409</v>
      </c>
      <c r="BJ3" s="12">
        <v>7.2529611587524414</v>
      </c>
      <c r="BK3" s="12">
        <v>2.486798763275146</v>
      </c>
      <c r="BL3" s="12">
        <v>76.044906616210938</v>
      </c>
      <c r="BM3" s="12">
        <v>33.587924957275391</v>
      </c>
      <c r="BN3" s="12">
        <v>109.63250732421881</v>
      </c>
      <c r="BO3" s="12">
        <v>149.56878662109381</v>
      </c>
      <c r="BP3" s="12">
        <v>39.580001831054688</v>
      </c>
      <c r="BQ3" s="12">
        <v>414.2900390625</v>
      </c>
      <c r="BR3" s="12">
        <v>15.36789131164551</v>
      </c>
      <c r="BS3" s="12">
        <v>5.8097643852233887</v>
      </c>
      <c r="BT3" s="12">
        <v>0.68999999761581421</v>
      </c>
      <c r="BU3" s="12">
        <v>0.26719331741333008</v>
      </c>
      <c r="BV3" s="12"/>
      <c r="BW3" s="12">
        <v>0</v>
      </c>
      <c r="BX3" s="12">
        <v>0</v>
      </c>
      <c r="BY3" s="12">
        <v>0</v>
      </c>
      <c r="BZ3" s="12">
        <v>0</v>
      </c>
      <c r="CA3" s="12">
        <v>0</v>
      </c>
      <c r="CB3" s="12">
        <v>0</v>
      </c>
      <c r="CC3" s="12">
        <v>0</v>
      </c>
      <c r="CD3" s="12">
        <v>-3.5453095436096191</v>
      </c>
      <c r="CE3" s="12">
        <v>-29.1458740234375</v>
      </c>
      <c r="CF3" s="12">
        <v>792.95086669921875</v>
      </c>
      <c r="CG3" s="12">
        <v>78.60107421875</v>
      </c>
      <c r="CH3" s="12">
        <v>20.79999923706055</v>
      </c>
      <c r="CI3" s="12">
        <v>2996.480224609375</v>
      </c>
      <c r="CJ3" s="12">
        <v>5.0993537902832031</v>
      </c>
      <c r="CK3" s="12">
        <v>24.06597900390625</v>
      </c>
      <c r="CL3" s="12">
        <v>1874.362426757812</v>
      </c>
      <c r="CM3" s="12">
        <v>496.00772094726563</v>
      </c>
      <c r="CN3" s="12">
        <v>8.0761022567749023</v>
      </c>
      <c r="CO3" s="12">
        <v>42.020912170410163</v>
      </c>
      <c r="CP3" s="12">
        <v>35.134403228759773</v>
      </c>
      <c r="CQ3" s="12">
        <v>20.869998931884769</v>
      </c>
      <c r="CR3" s="12">
        <v>10.659999847412109</v>
      </c>
      <c r="CS3" s="12">
        <v>6.8912568092346191</v>
      </c>
      <c r="CT3" s="12">
        <v>2.265106201171875</v>
      </c>
      <c r="CU3" s="12">
        <v>79</v>
      </c>
      <c r="CV3" s="12">
        <v>40</v>
      </c>
      <c r="CW3" s="12">
        <v>132.7693176269531</v>
      </c>
      <c r="CX3" s="12">
        <v>8.1032810211181641</v>
      </c>
      <c r="CY3" s="12">
        <v>4.1390023231506348</v>
      </c>
      <c r="CZ3" s="12">
        <v>1.861880302429199</v>
      </c>
      <c r="DA3" s="12">
        <v>973.25506591796875</v>
      </c>
      <c r="DB3" s="12">
        <v>1884.228393554688</v>
      </c>
      <c r="DC3" s="12">
        <v>76.044906616210938</v>
      </c>
      <c r="DD3" s="12">
        <v>33.587924957275391</v>
      </c>
      <c r="DE3" s="12">
        <v>109.63250732421881</v>
      </c>
      <c r="DF3" s="12">
        <v>149.56878662109381</v>
      </c>
      <c r="DG3" s="12">
        <v>39.580001831054688</v>
      </c>
      <c r="DH3" s="12">
        <v>414.2900390625</v>
      </c>
      <c r="DI3" s="12">
        <v>15.36789131164551</v>
      </c>
      <c r="DJ3" s="12">
        <v>5.8097643852233887</v>
      </c>
      <c r="DK3" s="12">
        <v>299.43182373046881</v>
      </c>
      <c r="DL3" s="12">
        <v>3.9622865617275238E-2</v>
      </c>
      <c r="DM3" s="12">
        <v>5.2989952266216278E-2</v>
      </c>
      <c r="DN3" s="12">
        <v>7.5577951967716217E-2</v>
      </c>
      <c r="DO3" s="12">
        <v>1.9999999552965161E-2</v>
      </c>
      <c r="DP3" s="12">
        <v>0.20024360716342929</v>
      </c>
      <c r="DQ3" s="12">
        <v>7.7654826454818249E-3</v>
      </c>
      <c r="DR3" s="12">
        <v>2.8081010095775132E-3</v>
      </c>
      <c r="DS3" s="12">
        <v>53.783782958984382</v>
      </c>
      <c r="DT3" s="12">
        <v>4.9293935298919678E-3</v>
      </c>
      <c r="DU3" s="12">
        <v>1.4296482317149641E-2</v>
      </c>
      <c r="DV3" s="12">
        <v>0</v>
      </c>
      <c r="DW3" s="12">
        <v>9.9999997764825821E-3</v>
      </c>
      <c r="DX3" s="12">
        <v>5.4024945944547653E-2</v>
      </c>
      <c r="DY3" s="12">
        <v>3.882741322740912E-3</v>
      </c>
      <c r="DZ3" s="13">
        <v>7.5761467451229692E-4</v>
      </c>
    </row>
    <row r="4" spans="1:130" x14ac:dyDescent="0.35">
      <c r="A4" s="18" t="s">
        <v>201</v>
      </c>
      <c r="B4" s="14">
        <v>2017</v>
      </c>
      <c r="C4" s="19" t="s">
        <v>202</v>
      </c>
      <c r="D4" s="14">
        <v>267346654</v>
      </c>
      <c r="E4" s="14">
        <v>2962852274581</v>
      </c>
      <c r="F4" s="14">
        <v>-14.49468517303467</v>
      </c>
      <c r="G4" s="14">
        <v>-3.9866123199462886</v>
      </c>
      <c r="H4" s="14">
        <v>87.965744018554688</v>
      </c>
      <c r="I4" s="14">
        <v>23.51734733581543</v>
      </c>
      <c r="J4" s="14">
        <v>43</v>
      </c>
      <c r="K4" s="14">
        <v>11.47000026702881</v>
      </c>
      <c r="L4" s="14">
        <v>4.3147878646850586</v>
      </c>
      <c r="M4" s="14">
        <v>1.159659266471863</v>
      </c>
      <c r="N4" s="14">
        <v>688.489990234375</v>
      </c>
      <c r="O4" s="14">
        <v>4.0037107467651367</v>
      </c>
      <c r="P4" s="14">
        <v>21.7928466796875</v>
      </c>
      <c r="Q4" s="14">
        <v>2117.509521484375</v>
      </c>
      <c r="R4" s="14">
        <v>566.10906982421875</v>
      </c>
      <c r="S4" s="14">
        <v>553.43878173828125</v>
      </c>
      <c r="T4" s="14">
        <v>147.96000671386719</v>
      </c>
      <c r="U4" s="14">
        <v>-1.8675205707550051</v>
      </c>
      <c r="V4" s="14">
        <v>-51.213134765625</v>
      </c>
      <c r="W4" s="14">
        <v>10065.931640625</v>
      </c>
      <c r="X4" s="14">
        <v>2691.09326171875</v>
      </c>
      <c r="Y4" s="14">
        <v>55.659637451171882</v>
      </c>
      <c r="Z4" s="14">
        <v>27.915292739868161</v>
      </c>
      <c r="AA4" s="14">
        <v>266.95001220703119</v>
      </c>
      <c r="AB4" s="14">
        <v>998.516357421875</v>
      </c>
      <c r="AC4" s="14">
        <v>265.82998657226563</v>
      </c>
      <c r="AD4" s="14">
        <v>13.40704441070557</v>
      </c>
      <c r="AE4" s="14">
        <v>7.4026603698730469</v>
      </c>
      <c r="AF4" s="14">
        <v>139.4830322265625</v>
      </c>
      <c r="AG4" s="14">
        <v>7569.61572265625</v>
      </c>
      <c r="AH4" s="14">
        <v>0.68302810192108154</v>
      </c>
      <c r="AI4" s="14">
        <v>7.8006887435913086</v>
      </c>
      <c r="AJ4" s="14">
        <v>138.6499328613281</v>
      </c>
      <c r="AK4" s="14">
        <v>832.77642822265625</v>
      </c>
      <c r="AL4" s="14">
        <v>222.63999938964841</v>
      </c>
      <c r="AM4" s="14">
        <v>7166.935546875</v>
      </c>
      <c r="AN4" s="14">
        <v>1916.05615234375</v>
      </c>
      <c r="AO4" s="14">
        <v>83.752777099609375</v>
      </c>
      <c r="AP4" s="14">
        <v>94.482269287109375</v>
      </c>
      <c r="AQ4" s="14">
        <v>13.512967109680179</v>
      </c>
      <c r="AR4" s="14">
        <v>59.475860595703118</v>
      </c>
      <c r="AS4" s="14">
        <v>499.61502075195313</v>
      </c>
      <c r="AT4" s="14">
        <v>209</v>
      </c>
      <c r="AU4" s="14">
        <v>55.830001831054688</v>
      </c>
      <c r="AV4" s="14">
        <v>1868.791015625</v>
      </c>
      <c r="AW4" s="14">
        <v>-2.4478142261505131</v>
      </c>
      <c r="AX4" s="14">
        <v>-20.87445068359375</v>
      </c>
      <c r="AY4" s="14">
        <v>3111.7080078125</v>
      </c>
      <c r="AZ4" s="14">
        <v>831.90472412109375</v>
      </c>
      <c r="BA4" s="14">
        <v>21.002145767211911</v>
      </c>
      <c r="BB4" s="14">
        <v>24.636417388916019</v>
      </c>
      <c r="BC4" s="14">
        <v>183.02000427246091</v>
      </c>
      <c r="BD4" s="14">
        <v>-0.23826424777507779</v>
      </c>
      <c r="BE4" s="14">
        <v>-0.34588623046875</v>
      </c>
      <c r="BF4" s="14">
        <v>46.580970764160163</v>
      </c>
      <c r="BG4" s="14">
        <v>69.684806823730469</v>
      </c>
      <c r="BH4" s="14">
        <v>18.629999160766602</v>
      </c>
      <c r="BI4" s="14">
        <v>174.2343444824219</v>
      </c>
      <c r="BJ4" s="14">
        <v>7.0082383155822754</v>
      </c>
      <c r="BK4" s="14">
        <v>2.2969450950622559</v>
      </c>
      <c r="BL4" s="14">
        <v>-3.3411674499511719</v>
      </c>
      <c r="BM4" s="14">
        <v>2.2644691467285161</v>
      </c>
      <c r="BN4" s="14">
        <v>111.89697265625</v>
      </c>
      <c r="BO4" s="14">
        <v>161.55055236816409</v>
      </c>
      <c r="BP4" s="14">
        <v>43.189998626708977</v>
      </c>
      <c r="BQ4" s="14">
        <v>418.54638671875</v>
      </c>
      <c r="BR4" s="14">
        <v>16.247226715087891</v>
      </c>
      <c r="BS4" s="14">
        <v>5.5177297592163086</v>
      </c>
      <c r="BT4" s="14">
        <v>1.120000004768372</v>
      </c>
      <c r="BU4" s="14">
        <v>0.419554203748703</v>
      </c>
      <c r="BV4" s="14"/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0</v>
      </c>
      <c r="CC4" s="14">
        <v>0</v>
      </c>
      <c r="CD4" s="14">
        <v>7.2364163398742676</v>
      </c>
      <c r="CE4" s="14">
        <v>57.3812255859375</v>
      </c>
      <c r="CF4" s="14">
        <v>850.33209228515636</v>
      </c>
      <c r="CG4" s="14">
        <v>70.507713317871094</v>
      </c>
      <c r="CH4" s="14">
        <v>18.85000038146973</v>
      </c>
      <c r="CI4" s="14">
        <v>3180.634765625</v>
      </c>
      <c r="CJ4" s="14">
        <v>-3.9900250434875488</v>
      </c>
      <c r="CK4" s="14">
        <v>-19.79083251953125</v>
      </c>
      <c r="CL4" s="14">
        <v>1781.271118164062</v>
      </c>
      <c r="CM4" s="14">
        <v>476.21688842773438</v>
      </c>
      <c r="CN4" s="14">
        <v>7.090998649597168</v>
      </c>
      <c r="CO4" s="14">
        <v>41.930557250976563</v>
      </c>
      <c r="CP4" s="14">
        <v>41.726032257080078</v>
      </c>
      <c r="CQ4" s="14">
        <v>24.530000686645511</v>
      </c>
      <c r="CR4" s="14">
        <v>13.060000419616699</v>
      </c>
      <c r="CS4" s="14">
        <v>18.761175155639648</v>
      </c>
      <c r="CT4" s="14">
        <v>6.5916290283203116</v>
      </c>
      <c r="CU4" s="14">
        <v>92</v>
      </c>
      <c r="CV4" s="14">
        <v>49</v>
      </c>
      <c r="CW4" s="14">
        <v>156.07463073730469</v>
      </c>
      <c r="CX4" s="14">
        <v>9.2277030944824219</v>
      </c>
      <c r="CY4" s="14">
        <v>4.9129147529602051</v>
      </c>
      <c r="CZ4" s="14">
        <v>2.0575442314147949</v>
      </c>
      <c r="DA4" s="14">
        <v>994.32696533203125</v>
      </c>
      <c r="DB4" s="14">
        <v>2023.71142578125</v>
      </c>
      <c r="DC4" s="14">
        <v>-3.3411674499511719</v>
      </c>
      <c r="DD4" s="14">
        <v>2.2644691467285161</v>
      </c>
      <c r="DE4" s="14">
        <v>111.89697265625</v>
      </c>
      <c r="DF4" s="14">
        <v>161.55055236816409</v>
      </c>
      <c r="DG4" s="14">
        <v>43.189998626708977</v>
      </c>
      <c r="DH4" s="14">
        <v>418.54638671875</v>
      </c>
      <c r="DI4" s="14">
        <v>16.247226715087891</v>
      </c>
      <c r="DJ4" s="14">
        <v>5.5177297592163086</v>
      </c>
      <c r="DK4" s="14">
        <v>37.743000030517578</v>
      </c>
      <c r="DL4" s="14">
        <v>1.9635044038295749E-2</v>
      </c>
      <c r="DM4" s="14">
        <v>7.2624996304512038E-2</v>
      </c>
      <c r="DN4" s="14">
        <v>0.1122138574719429</v>
      </c>
      <c r="DO4" s="14">
        <v>2.999999932944775E-2</v>
      </c>
      <c r="DP4" s="14">
        <v>0.27165102958679199</v>
      </c>
      <c r="DQ4" s="14">
        <v>1.128540839999914E-2</v>
      </c>
      <c r="DR4" s="14">
        <v>3.5811970010399814E-3</v>
      </c>
      <c r="DS4" s="14">
        <v>-100</v>
      </c>
      <c r="DT4" s="14">
        <v>-1.4296482317149641E-2</v>
      </c>
      <c r="DU4" s="14">
        <v>0</v>
      </c>
      <c r="DV4" s="14">
        <v>0</v>
      </c>
      <c r="DW4" s="14">
        <v>0</v>
      </c>
      <c r="DX4" s="14">
        <v>0</v>
      </c>
      <c r="DY4" s="14">
        <v>0</v>
      </c>
      <c r="DZ4" s="15">
        <v>0</v>
      </c>
    </row>
    <row r="5" spans="1:130" x14ac:dyDescent="0.35">
      <c r="A5" s="16" t="s">
        <v>201</v>
      </c>
      <c r="B5" s="12">
        <v>2018</v>
      </c>
      <c r="C5" s="17" t="s">
        <v>202</v>
      </c>
      <c r="D5" s="12">
        <v>269951847</v>
      </c>
      <c r="E5" s="12">
        <v>3116158974437</v>
      </c>
      <c r="F5" s="12">
        <v>45.800937652587891</v>
      </c>
      <c r="G5" s="12">
        <v>10.77116584777832</v>
      </c>
      <c r="H5" s="12">
        <v>127.0171432495117</v>
      </c>
      <c r="I5" s="12">
        <v>34.28851318359375</v>
      </c>
      <c r="J5" s="12">
        <v>45</v>
      </c>
      <c r="K5" s="12">
        <v>12.13000011444092</v>
      </c>
      <c r="L5" s="12">
        <v>4.274287223815918</v>
      </c>
      <c r="M5" s="12">
        <v>1.6056603193283081</v>
      </c>
      <c r="N5" s="12">
        <v>684.05999755859375</v>
      </c>
      <c r="O5" s="12">
        <v>15.830924987792972</v>
      </c>
      <c r="P5" s="12">
        <v>89.62030029296875</v>
      </c>
      <c r="Q5" s="12">
        <v>2429.060546875</v>
      </c>
      <c r="R5" s="12">
        <v>655.7293701171875</v>
      </c>
      <c r="S5" s="12">
        <v>592.73529052734375</v>
      </c>
      <c r="T5" s="12">
        <v>160.00999450683591</v>
      </c>
      <c r="U5" s="12">
        <v>18.100971221923832</v>
      </c>
      <c r="V5" s="12">
        <v>487.114013671875</v>
      </c>
      <c r="W5" s="12">
        <v>11773.2373046875</v>
      </c>
      <c r="X5" s="12">
        <v>3178.207275390625</v>
      </c>
      <c r="Y5" s="12">
        <v>56.383235931396477</v>
      </c>
      <c r="Z5" s="12">
        <v>30.706453323364261</v>
      </c>
      <c r="AA5" s="12">
        <v>285.29000854492188</v>
      </c>
      <c r="AB5" s="12">
        <v>1056.818115234375</v>
      </c>
      <c r="AC5" s="12">
        <v>283.79000854492188</v>
      </c>
      <c r="AD5" s="12">
        <v>13.86581993103027</v>
      </c>
      <c r="AE5" s="12">
        <v>5.3293342590332031</v>
      </c>
      <c r="AF5" s="12">
        <v>107.850341796875</v>
      </c>
      <c r="AG5" s="12">
        <v>7896.08154296875</v>
      </c>
      <c r="AH5" s="12">
        <v>0.68403500318527222</v>
      </c>
      <c r="AI5" s="12">
        <v>2.5032041072845459</v>
      </c>
      <c r="AJ5" s="12">
        <v>47.962799072265618</v>
      </c>
      <c r="AK5" s="12">
        <v>872.04443359375</v>
      </c>
      <c r="AL5" s="12">
        <v>235.4100036621094</v>
      </c>
      <c r="AM5" s="12">
        <v>7275.44189453125</v>
      </c>
      <c r="AN5" s="12">
        <v>1964.01904296875</v>
      </c>
      <c r="AO5" s="12">
        <v>82.952178955078125</v>
      </c>
      <c r="AP5" s="12">
        <v>91.970954895019531</v>
      </c>
      <c r="AQ5" s="12">
        <v>-13.719456672668461</v>
      </c>
      <c r="AR5" s="12">
        <v>-68.544464111328125</v>
      </c>
      <c r="AS5" s="12">
        <v>431.070556640625</v>
      </c>
      <c r="AT5" s="12">
        <v>213</v>
      </c>
      <c r="AU5" s="12">
        <v>57.450000762939453</v>
      </c>
      <c r="AV5" s="12">
        <v>1596.842407226562</v>
      </c>
      <c r="AW5" s="12">
        <v>-0.25397053360939031</v>
      </c>
      <c r="AX5" s="12">
        <v>-2.11279296875</v>
      </c>
      <c r="AY5" s="12">
        <v>3073.8515625</v>
      </c>
      <c r="AZ5" s="12">
        <v>829.79193115234375</v>
      </c>
      <c r="BA5" s="12">
        <v>20.243841171264648</v>
      </c>
      <c r="BB5" s="12">
        <v>20.1861457824707</v>
      </c>
      <c r="BC5" s="12">
        <v>194.1300048828125</v>
      </c>
      <c r="BD5" s="12">
        <v>16.122409820556641</v>
      </c>
      <c r="BE5" s="12">
        <v>7.2408676147460946</v>
      </c>
      <c r="BF5" s="12">
        <v>53.82183837890625</v>
      </c>
      <c r="BG5" s="12">
        <v>80.162445068359375</v>
      </c>
      <c r="BH5" s="12">
        <v>21.639999389648441</v>
      </c>
      <c r="BI5" s="12">
        <v>199.3757019042969</v>
      </c>
      <c r="BJ5" s="12">
        <v>7.6253561973571777</v>
      </c>
      <c r="BK5" s="12">
        <v>2.520365715026855</v>
      </c>
      <c r="BL5" s="12">
        <v>48.841636657714837</v>
      </c>
      <c r="BM5" s="12">
        <v>59.561393737792969</v>
      </c>
      <c r="BN5" s="12">
        <v>171.4583740234375</v>
      </c>
      <c r="BO5" s="12">
        <v>179.21714782714841</v>
      </c>
      <c r="BP5" s="12">
        <v>48.380001068115227</v>
      </c>
      <c r="BQ5" s="12">
        <v>635.144287109375</v>
      </c>
      <c r="BR5" s="12">
        <v>17.047817230224609</v>
      </c>
      <c r="BS5" s="12">
        <v>8.0290422439575195</v>
      </c>
      <c r="BT5" s="12">
        <v>1.5</v>
      </c>
      <c r="BU5" s="12">
        <v>0.52578079700469971</v>
      </c>
      <c r="BV5" s="12"/>
      <c r="BW5" s="12">
        <v>0</v>
      </c>
      <c r="BX5" s="12">
        <v>0</v>
      </c>
      <c r="BY5" s="12">
        <v>0</v>
      </c>
      <c r="BZ5" s="12">
        <v>0</v>
      </c>
      <c r="CA5" s="12">
        <v>0</v>
      </c>
      <c r="CB5" s="12">
        <v>0</v>
      </c>
      <c r="CC5" s="12">
        <v>0</v>
      </c>
      <c r="CD5" s="12">
        <v>3.16193675994873</v>
      </c>
      <c r="CE5" s="12">
        <v>26.886962890625</v>
      </c>
      <c r="CF5" s="12">
        <v>877.21905517578125</v>
      </c>
      <c r="CG5" s="12">
        <v>66.493339538574219</v>
      </c>
      <c r="CH5" s="12">
        <v>17.95000076293945</v>
      </c>
      <c r="CI5" s="12">
        <v>3249.5390625</v>
      </c>
      <c r="CJ5" s="12">
        <v>-3.6407616138458252</v>
      </c>
      <c r="CK5" s="12">
        <v>-17.337921142578121</v>
      </c>
      <c r="CL5" s="12">
        <v>1699.854858398438</v>
      </c>
      <c r="CM5" s="12">
        <v>458.87896728515619</v>
      </c>
      <c r="CN5" s="12">
        <v>6.3250994682312012</v>
      </c>
      <c r="CO5" s="12">
        <v>41.078357696533203</v>
      </c>
      <c r="CP5" s="12">
        <v>82.65087890625</v>
      </c>
      <c r="CQ5" s="12">
        <v>26.45999908447266</v>
      </c>
      <c r="CR5" s="12">
        <v>14.329999923706049</v>
      </c>
      <c r="CS5" s="12">
        <v>98.079887390136719</v>
      </c>
      <c r="CT5" s="12">
        <v>40.924846649169922</v>
      </c>
      <c r="CU5" s="12">
        <v>98</v>
      </c>
      <c r="CV5" s="12">
        <v>53</v>
      </c>
      <c r="CW5" s="12">
        <v>306.16897583007813</v>
      </c>
      <c r="CX5" s="12">
        <v>9.3237953186035156</v>
      </c>
      <c r="CY5" s="12">
        <v>5.0495080947875977</v>
      </c>
      <c r="CZ5" s="12">
        <v>3.8703701496124272</v>
      </c>
      <c r="DA5" s="12">
        <v>1051.261596679688</v>
      </c>
      <c r="DB5" s="12">
        <v>2131.561767578125</v>
      </c>
      <c r="DC5" s="12">
        <v>48.841636657714837</v>
      </c>
      <c r="DD5" s="12">
        <v>59.561393737792969</v>
      </c>
      <c r="DE5" s="12">
        <v>171.4583740234375</v>
      </c>
      <c r="DF5" s="12">
        <v>179.21714782714841</v>
      </c>
      <c r="DG5" s="12">
        <v>48.380001068115227</v>
      </c>
      <c r="DH5" s="12">
        <v>635.144287109375</v>
      </c>
      <c r="DI5" s="12">
        <v>17.047817230224609</v>
      </c>
      <c r="DJ5" s="12">
        <v>8.0290422439575195</v>
      </c>
      <c r="DK5" s="12">
        <v>210.74009704589841</v>
      </c>
      <c r="DL5" s="12">
        <v>0.1519272327423096</v>
      </c>
      <c r="DM5" s="12">
        <v>0.22455222904682159</v>
      </c>
      <c r="DN5" s="12">
        <v>0.33339279890060419</v>
      </c>
      <c r="DO5" s="12">
        <v>9.0000003576278687E-2</v>
      </c>
      <c r="DP5" s="12">
        <v>0.83182328939437877</v>
      </c>
      <c r="DQ5" s="12">
        <v>3.1713590025901787E-2</v>
      </c>
      <c r="DR5" s="12">
        <v>1.0515317320823668E-2</v>
      </c>
      <c r="DS5" s="12"/>
      <c r="DT5" s="12">
        <v>0.47258704900741583</v>
      </c>
      <c r="DU5" s="12">
        <v>0.47258704900741583</v>
      </c>
      <c r="DV5" s="12">
        <v>1</v>
      </c>
      <c r="DW5" s="12">
        <v>0.18999999761581421</v>
      </c>
      <c r="DX5" s="12">
        <v>1.7506346702575679</v>
      </c>
      <c r="DY5" s="12">
        <v>6.6950909793376923E-2</v>
      </c>
      <c r="DZ5" s="13">
        <v>2.2130277007818219E-2</v>
      </c>
    </row>
    <row r="6" spans="1:130" x14ac:dyDescent="0.35">
      <c r="A6" s="18" t="s">
        <v>201</v>
      </c>
      <c r="B6" s="14">
        <v>2019</v>
      </c>
      <c r="C6" s="19" t="s">
        <v>202</v>
      </c>
      <c r="D6" s="14">
        <v>272489381</v>
      </c>
      <c r="E6" s="14">
        <v>3272568062078</v>
      </c>
      <c r="F6" s="14">
        <v>70.55999755859375</v>
      </c>
      <c r="G6" s="14">
        <v>24.193973541259769</v>
      </c>
      <c r="H6" s="14">
        <v>214.62300109863281</v>
      </c>
      <c r="I6" s="14">
        <v>58.482486724853523</v>
      </c>
      <c r="J6" s="14">
        <v>45</v>
      </c>
      <c r="K6" s="14">
        <v>12.170000076293951</v>
      </c>
      <c r="L6" s="14">
        <v>4.1192798614501953</v>
      </c>
      <c r="M6" s="14">
        <v>2.589990377426147</v>
      </c>
      <c r="N6" s="14">
        <v>693.80999755859375</v>
      </c>
      <c r="O6" s="14">
        <v>22.189302444458011</v>
      </c>
      <c r="P6" s="14">
        <v>145.50177001953119</v>
      </c>
      <c r="Q6" s="14">
        <v>2940.412353515625</v>
      </c>
      <c r="R6" s="14">
        <v>801.23114013671875</v>
      </c>
      <c r="S6" s="14">
        <v>640.355224609375</v>
      </c>
      <c r="T6" s="14">
        <v>174.49000549316409</v>
      </c>
      <c r="U6" s="14">
        <v>12.221390724182131</v>
      </c>
      <c r="V6" s="14">
        <v>388.421142578125</v>
      </c>
      <c r="W6" s="14">
        <v>13089.0546875</v>
      </c>
      <c r="X6" s="14">
        <v>3566.62841796875</v>
      </c>
      <c r="Y6" s="14">
        <v>59.061061859130859</v>
      </c>
      <c r="Z6" s="14">
        <v>35.483802795410163</v>
      </c>
      <c r="AA6" s="14">
        <v>297.1199951171875</v>
      </c>
      <c r="AB6" s="14">
        <v>1090.39111328125</v>
      </c>
      <c r="AC6" s="14">
        <v>295.44000244140619</v>
      </c>
      <c r="AD6" s="14">
        <v>13.61436939239502</v>
      </c>
      <c r="AE6" s="14">
        <v>5.7411985397338867</v>
      </c>
      <c r="AF6" s="14">
        <v>122.377197265625</v>
      </c>
      <c r="AG6" s="14">
        <v>8271.658203125</v>
      </c>
      <c r="AH6" s="14">
        <v>0.68873709440231323</v>
      </c>
      <c r="AI6" s="14">
        <v>5.0670948028564453</v>
      </c>
      <c r="AJ6" s="14">
        <v>99.518707275390625</v>
      </c>
      <c r="AK6" s="14">
        <v>907.92529296875</v>
      </c>
      <c r="AL6" s="14">
        <v>247.3999938964844</v>
      </c>
      <c r="AM6" s="14">
        <v>7572.91064453125</v>
      </c>
      <c r="AN6" s="14">
        <v>2063.53759765625</v>
      </c>
      <c r="AO6" s="14">
        <v>83.739501953125</v>
      </c>
      <c r="AP6" s="14">
        <v>91.387069702148438</v>
      </c>
      <c r="AQ6" s="14">
        <v>-5.5366039276123047</v>
      </c>
      <c r="AR6" s="14">
        <v>-23.866668701171879</v>
      </c>
      <c r="AS6" s="14">
        <v>407.20388793945313</v>
      </c>
      <c r="AT6" s="14">
        <v>229</v>
      </c>
      <c r="AU6" s="14">
        <v>62.319999694824219</v>
      </c>
      <c r="AV6" s="14">
        <v>1494.384399414062</v>
      </c>
      <c r="AW6" s="14">
        <v>-8.9233188629150391</v>
      </c>
      <c r="AX6" s="14">
        <v>-74.04498291015625</v>
      </c>
      <c r="AY6" s="14">
        <v>2773.491455078125</v>
      </c>
      <c r="AZ6" s="14">
        <v>755.7469482421875</v>
      </c>
      <c r="BA6" s="14">
        <v>21.093961715698239</v>
      </c>
      <c r="BB6" s="14">
        <v>18.033676147460941</v>
      </c>
      <c r="BC6" s="14">
        <v>204.97999572753909</v>
      </c>
      <c r="BD6" s="14">
        <v>-2.1971325874328609</v>
      </c>
      <c r="BE6" s="14">
        <v>-1.4431304931640621</v>
      </c>
      <c r="BF6" s="14">
        <v>52.378707885742195</v>
      </c>
      <c r="BG6" s="14">
        <v>77.654403686523438</v>
      </c>
      <c r="BH6" s="14">
        <v>21.159999847412109</v>
      </c>
      <c r="BI6" s="14">
        <v>192.2229309082031</v>
      </c>
      <c r="BJ6" s="14">
        <v>7.162198543548584</v>
      </c>
      <c r="BK6" s="14">
        <v>2.319674968719482</v>
      </c>
      <c r="BL6" s="14">
        <v>28.88427734375</v>
      </c>
      <c r="BM6" s="14">
        <v>23.02330207824707</v>
      </c>
      <c r="BN6" s="14">
        <v>194.48167419433591</v>
      </c>
      <c r="BO6" s="14">
        <v>176.3004455566406</v>
      </c>
      <c r="BP6" s="14">
        <v>48.040000915527337</v>
      </c>
      <c r="BQ6" s="14">
        <v>713.7220458984375</v>
      </c>
      <c r="BR6" s="14">
        <v>16.260492324829102</v>
      </c>
      <c r="BS6" s="14">
        <v>8.6129322052001953</v>
      </c>
      <c r="BT6" s="14">
        <v>1.679999947547913</v>
      </c>
      <c r="BU6" s="14">
        <v>0.56542807817459106</v>
      </c>
      <c r="BV6" s="14"/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-2.5211939811706539</v>
      </c>
      <c r="CE6" s="14">
        <v>-22.11639404296875</v>
      </c>
      <c r="CF6" s="14">
        <v>855.1026611328125</v>
      </c>
      <c r="CG6" s="14">
        <v>38.863899230957031</v>
      </c>
      <c r="CH6" s="14">
        <v>10.590000152587891</v>
      </c>
      <c r="CI6" s="14">
        <v>3138.11376953125</v>
      </c>
      <c r="CJ6" s="14">
        <v>-3.3770987987518311</v>
      </c>
      <c r="CK6" s="14">
        <v>-15.49679565429688</v>
      </c>
      <c r="CL6" s="14">
        <v>1627.153930664062</v>
      </c>
      <c r="CM6" s="14">
        <v>443.38217163085938</v>
      </c>
      <c r="CN6" s="14">
        <v>3.5844841003417969</v>
      </c>
      <c r="CO6" s="14">
        <v>37.869590759277337</v>
      </c>
      <c r="CP6" s="14">
        <v>82.129684448242188</v>
      </c>
      <c r="CQ6" s="14">
        <v>26.279998779296879</v>
      </c>
      <c r="CR6" s="14">
        <v>14.10999965667725</v>
      </c>
      <c r="CS6" s="14">
        <v>-0.63059097528457642</v>
      </c>
      <c r="CT6" s="14">
        <v>-0.5211944580078125</v>
      </c>
      <c r="CU6" s="14">
        <v>96</v>
      </c>
      <c r="CV6" s="14">
        <v>52</v>
      </c>
      <c r="CW6" s="14">
        <v>301.40509033203119</v>
      </c>
      <c r="CX6" s="14">
        <v>8.895207405090332</v>
      </c>
      <c r="CY6" s="14">
        <v>4.7759270668029794</v>
      </c>
      <c r="CZ6" s="14">
        <v>3.6372444629669194</v>
      </c>
      <c r="DA6" s="14">
        <v>1084.225708007812</v>
      </c>
      <c r="DB6" s="14">
        <v>2253.93896484375</v>
      </c>
      <c r="DC6" s="14">
        <v>28.88427734375</v>
      </c>
      <c r="DD6" s="14">
        <v>23.02330207824707</v>
      </c>
      <c r="DE6" s="14">
        <v>194.48167419433591</v>
      </c>
      <c r="DF6" s="14">
        <v>176.3004455566406</v>
      </c>
      <c r="DG6" s="14">
        <v>48.040000915527337</v>
      </c>
      <c r="DH6" s="14">
        <v>713.7220458984375</v>
      </c>
      <c r="DI6" s="14">
        <v>16.260492324829102</v>
      </c>
      <c r="DJ6" s="14">
        <v>8.6129322052001953</v>
      </c>
      <c r="DK6" s="14">
        <v>31.02913856506348</v>
      </c>
      <c r="DL6" s="14">
        <v>6.8220034241676331E-2</v>
      </c>
      <c r="DM6" s="14">
        <v>0.29277226328849792</v>
      </c>
      <c r="DN6" s="14">
        <v>0.44038411974906921</v>
      </c>
      <c r="DO6" s="14">
        <v>0.119999997317791</v>
      </c>
      <c r="DP6" s="14">
        <v>1.0744354724884031</v>
      </c>
      <c r="DQ6" s="14">
        <v>4.0617384016513818E-2</v>
      </c>
      <c r="DR6" s="14">
        <v>1.2965887784957887E-2</v>
      </c>
      <c r="DS6" s="14">
        <v>154.76365661621091</v>
      </c>
      <c r="DT6" s="14">
        <v>0.72543269395828236</v>
      </c>
      <c r="DU6" s="14">
        <v>1.198019742965698</v>
      </c>
      <c r="DV6" s="14">
        <v>2</v>
      </c>
      <c r="DW6" s="14">
        <v>0.47999998927116388</v>
      </c>
      <c r="DX6" s="14">
        <v>4.3965740203857422</v>
      </c>
      <c r="DY6" s="14">
        <v>0.1624695360660553</v>
      </c>
      <c r="DZ6" s="15">
        <v>5.3056221455335617E-2</v>
      </c>
    </row>
    <row r="7" spans="1:130" x14ac:dyDescent="0.35">
      <c r="A7" s="16" t="s">
        <v>201</v>
      </c>
      <c r="B7" s="12">
        <v>2020</v>
      </c>
      <c r="C7" s="17" t="s">
        <v>202</v>
      </c>
      <c r="D7" s="12">
        <v>274814861</v>
      </c>
      <c r="E7" s="12">
        <v>3204972631957</v>
      </c>
      <c r="F7" s="12">
        <v>31.332094192504879</v>
      </c>
      <c r="G7" s="12">
        <v>18.323787689208981</v>
      </c>
      <c r="H7" s="12">
        <v>279.48370361328119</v>
      </c>
      <c r="I7" s="12">
        <v>76.8062744140625</v>
      </c>
      <c r="J7" s="12">
        <v>45</v>
      </c>
      <c r="K7" s="12">
        <v>12.35000038146973</v>
      </c>
      <c r="L7" s="12">
        <v>4.2320609092712402</v>
      </c>
      <c r="M7" s="12">
        <v>3.6212844848632808</v>
      </c>
      <c r="N7" s="12">
        <v>685.1500244140625</v>
      </c>
      <c r="O7" s="12">
        <v>-4.4745211601257324</v>
      </c>
      <c r="P7" s="12">
        <v>-35.85125732421875</v>
      </c>
      <c r="Q7" s="12">
        <v>2785.074462890625</v>
      </c>
      <c r="R7" s="12">
        <v>765.3798828125</v>
      </c>
      <c r="S7" s="12">
        <v>658.15216064453125</v>
      </c>
      <c r="T7" s="12">
        <v>180.8699951171875</v>
      </c>
      <c r="U7" s="12">
        <v>-8.27490234375</v>
      </c>
      <c r="V7" s="12">
        <v>-295.135009765625</v>
      </c>
      <c r="W7" s="12">
        <v>11904.3544921875</v>
      </c>
      <c r="X7" s="12">
        <v>3271.493408203125</v>
      </c>
      <c r="Y7" s="12">
        <v>61.979984283447273</v>
      </c>
      <c r="Z7" s="12">
        <v>36.086353302001953</v>
      </c>
      <c r="AA7" s="12">
        <v>293.3699951171875</v>
      </c>
      <c r="AB7" s="12">
        <v>1067.518676757812</v>
      </c>
      <c r="AC7" s="12">
        <v>291.82000732421881</v>
      </c>
      <c r="AD7" s="12">
        <v>14.411447525024412</v>
      </c>
      <c r="AE7" s="12">
        <v>-6.1061396598815918</v>
      </c>
      <c r="AF7" s="12">
        <v>-137.628662109375</v>
      </c>
      <c r="AG7" s="12">
        <v>7700.8583984375</v>
      </c>
      <c r="AH7" s="12">
        <v>0.66032087802886963</v>
      </c>
      <c r="AI7" s="12">
        <v>-8.1566648483276367</v>
      </c>
      <c r="AJ7" s="12">
        <v>-168.31585693359381</v>
      </c>
      <c r="AK7" s="12">
        <v>869.421630859375</v>
      </c>
      <c r="AL7" s="12">
        <v>238.92999267578119</v>
      </c>
      <c r="AM7" s="12">
        <v>6896.3583984375</v>
      </c>
      <c r="AN7" s="12">
        <v>1895.221801757812</v>
      </c>
      <c r="AO7" s="12">
        <v>81.875808715820313</v>
      </c>
      <c r="AP7" s="12">
        <v>89.356468200683594</v>
      </c>
      <c r="AQ7" s="12">
        <v>-7.5081820487976083</v>
      </c>
      <c r="AR7" s="12">
        <v>-30.5736083984375</v>
      </c>
      <c r="AS7" s="12">
        <v>376.63027954101563</v>
      </c>
      <c r="AT7" s="12">
        <v>187</v>
      </c>
      <c r="AU7" s="12">
        <v>51.279998779296882</v>
      </c>
      <c r="AV7" s="12">
        <v>1370.4873046875</v>
      </c>
      <c r="AW7" s="12">
        <v>-12.08845043182373</v>
      </c>
      <c r="AX7" s="12">
        <v>-91.35809326171875</v>
      </c>
      <c r="AY7" s="12">
        <v>2417.587158203125</v>
      </c>
      <c r="AZ7" s="12">
        <v>664.38885498046875</v>
      </c>
      <c r="BA7" s="12">
        <v>17.572475433349609</v>
      </c>
      <c r="BB7" s="12">
        <v>17.757474899291989</v>
      </c>
      <c r="BC7" s="12">
        <v>199.94000244140619</v>
      </c>
      <c r="BD7" s="12">
        <v>14.952041625976561</v>
      </c>
      <c r="BE7" s="12">
        <v>7.6830215454101571</v>
      </c>
      <c r="BF7" s="12">
        <v>60.061729431152337</v>
      </c>
      <c r="BG7" s="12">
        <v>88.532333374023438</v>
      </c>
      <c r="BH7" s="12">
        <v>24.329999923706051</v>
      </c>
      <c r="BI7" s="12">
        <v>218.55342102050781</v>
      </c>
      <c r="BJ7" s="12">
        <v>8.3373308181762695</v>
      </c>
      <c r="BK7" s="12">
        <v>2.8318078517913814</v>
      </c>
      <c r="BL7" s="12">
        <v>21.760137557983398</v>
      </c>
      <c r="BM7" s="12">
        <v>31.26413536071777</v>
      </c>
      <c r="BN7" s="12">
        <v>225.74580383300781</v>
      </c>
      <c r="BO7" s="12">
        <v>192.45683288574219</v>
      </c>
      <c r="BP7" s="12">
        <v>52.889999389648438</v>
      </c>
      <c r="BQ7" s="12">
        <v>821.44683837890625</v>
      </c>
      <c r="BR7" s="12">
        <v>18.124185562133789</v>
      </c>
      <c r="BS7" s="12">
        <v>10.643528938293461</v>
      </c>
      <c r="BT7" s="12">
        <v>1.549999952316284</v>
      </c>
      <c r="BU7" s="12">
        <v>0.52834302186965942</v>
      </c>
      <c r="BV7" s="12"/>
      <c r="BW7" s="12">
        <v>0</v>
      </c>
      <c r="BX7" s="12">
        <v>0</v>
      </c>
      <c r="BY7" s="12">
        <v>0</v>
      </c>
      <c r="BZ7" s="12">
        <v>0</v>
      </c>
      <c r="CA7" s="12">
        <v>0</v>
      </c>
      <c r="CB7" s="12">
        <v>0</v>
      </c>
      <c r="CC7" s="12">
        <v>0</v>
      </c>
      <c r="CD7" s="12">
        <v>-11.91564464569092</v>
      </c>
      <c r="CE7" s="12">
        <v>-101.8909912109375</v>
      </c>
      <c r="CF7" s="12">
        <v>753.211669921875</v>
      </c>
      <c r="CG7" s="12">
        <v>24.67115592956543</v>
      </c>
      <c r="CH7" s="12">
        <v>6.7800002098083496</v>
      </c>
      <c r="CI7" s="12">
        <v>2740.796630859375</v>
      </c>
      <c r="CJ7" s="12">
        <v>-4.6942658424377441</v>
      </c>
      <c r="CK7" s="12">
        <v>-20.81353759765625</v>
      </c>
      <c r="CL7" s="12">
        <v>1537.6484375</v>
      </c>
      <c r="CM7" s="12">
        <v>422.56863403320313</v>
      </c>
      <c r="CN7" s="12">
        <v>2.3233499526977539</v>
      </c>
      <c r="CO7" s="12">
        <v>35.512641906738281</v>
      </c>
      <c r="CP7" s="12">
        <v>87.282814025878906</v>
      </c>
      <c r="CQ7" s="12">
        <v>27.920000076293949</v>
      </c>
      <c r="CR7" s="12">
        <v>15.569999694824221</v>
      </c>
      <c r="CS7" s="12">
        <v>6.274376392364502</v>
      </c>
      <c r="CT7" s="12">
        <v>5.1531295776367188</v>
      </c>
      <c r="CU7" s="12">
        <v>102</v>
      </c>
      <c r="CV7" s="12">
        <v>57</v>
      </c>
      <c r="CW7" s="12">
        <v>317.60586547851563</v>
      </c>
      <c r="CX7" s="12">
        <v>9.5675411224365234</v>
      </c>
      <c r="CY7" s="12">
        <v>5.3354806900024414</v>
      </c>
      <c r="CZ7" s="12">
        <v>4.1152353286743164</v>
      </c>
      <c r="DA7" s="12">
        <v>1061.878540039062</v>
      </c>
      <c r="DB7" s="12">
        <v>2116.310302734375</v>
      </c>
      <c r="DC7" s="12">
        <v>21.760137557983398</v>
      </c>
      <c r="DD7" s="12">
        <v>31.26413536071777</v>
      </c>
      <c r="DE7" s="12">
        <v>225.74580383300781</v>
      </c>
      <c r="DF7" s="12">
        <v>192.45683288574219</v>
      </c>
      <c r="DG7" s="12">
        <v>52.889999389648438</v>
      </c>
      <c r="DH7" s="12">
        <v>821.44683837890625</v>
      </c>
      <c r="DI7" s="12">
        <v>18.124185562133789</v>
      </c>
      <c r="DJ7" s="12">
        <v>10.643528938293461</v>
      </c>
      <c r="DK7" s="12">
        <v>44.546829223632813</v>
      </c>
      <c r="DL7" s="12">
        <v>0.1293758749961853</v>
      </c>
      <c r="DM7" s="12">
        <v>0.42214813828468323</v>
      </c>
      <c r="DN7" s="12">
        <v>0.61859828233718872</v>
      </c>
      <c r="DO7" s="12">
        <v>0.17000000178813929</v>
      </c>
      <c r="DP7" s="12">
        <v>1.536118268966675</v>
      </c>
      <c r="DQ7" s="12">
        <v>5.8255087584257133E-2</v>
      </c>
      <c r="DR7" s="12">
        <v>1.9903562963008881E-2</v>
      </c>
      <c r="DS7" s="12">
        <v>-1.859504818916321</v>
      </c>
      <c r="DT7" s="12">
        <v>-2.5180220603942871E-2</v>
      </c>
      <c r="DU7" s="12">
        <v>1.1728395223617547</v>
      </c>
      <c r="DV7" s="12">
        <v>2</v>
      </c>
      <c r="DW7" s="12">
        <v>0.4699999988079071</v>
      </c>
      <c r="DX7" s="12">
        <v>4.2677440643310547</v>
      </c>
      <c r="DY7" s="12">
        <v>0.16105818748474121</v>
      </c>
      <c r="DZ7" s="13">
        <v>5.5297378450632102E-2</v>
      </c>
    </row>
    <row r="8" spans="1:130" x14ac:dyDescent="0.35">
      <c r="A8" s="18" t="s">
        <v>201</v>
      </c>
      <c r="B8" s="14">
        <v>2021</v>
      </c>
      <c r="C8" s="19" t="s">
        <v>202</v>
      </c>
      <c r="D8" s="14">
        <v>276758056</v>
      </c>
      <c r="E8" s="14">
        <v>3323654666991</v>
      </c>
      <c r="F8" s="14">
        <v>10.64285087585449</v>
      </c>
      <c r="G8" s="14">
        <v>8.17437744140625</v>
      </c>
      <c r="H8" s="14">
        <v>307.05755615234381</v>
      </c>
      <c r="I8" s="14">
        <v>84.98065185546875</v>
      </c>
      <c r="J8" s="14">
        <v>54</v>
      </c>
      <c r="K8" s="14">
        <v>14.960000038146971</v>
      </c>
      <c r="L8" s="14">
        <v>4.8357901573181152</v>
      </c>
      <c r="M8" s="14">
        <v>3.8600437641143799</v>
      </c>
      <c r="N8" s="14">
        <v>684.40997314453125</v>
      </c>
      <c r="O8" s="14">
        <v>-0.28094133734703058</v>
      </c>
      <c r="P8" s="14">
        <v>-2.1502685546875</v>
      </c>
      <c r="Q8" s="14">
        <v>2757.750244140625</v>
      </c>
      <c r="R8" s="14">
        <v>763.2296142578125</v>
      </c>
      <c r="S8" s="14">
        <v>686.375732421875</v>
      </c>
      <c r="T8" s="14">
        <v>189.96000671386719</v>
      </c>
      <c r="U8" s="14">
        <v>7.665717601776123</v>
      </c>
      <c r="V8" s="14">
        <v>250.783447265625</v>
      </c>
      <c r="W8" s="14">
        <v>12726.9169921875</v>
      </c>
      <c r="X8" s="14">
        <v>3522.27685546875</v>
      </c>
      <c r="Y8" s="14">
        <v>61.404193878173828</v>
      </c>
      <c r="Z8" s="14">
        <v>34.667888641357422</v>
      </c>
      <c r="AA8" s="14">
        <v>310.32998657226563</v>
      </c>
      <c r="AB8" s="14">
        <v>1121.30419921875</v>
      </c>
      <c r="AC8" s="14">
        <v>309.3599853515625</v>
      </c>
      <c r="AD8" s="14">
        <v>14.73927021026611</v>
      </c>
      <c r="AE8" s="14">
        <v>3.7976644039154048</v>
      </c>
      <c r="AF8" s="14">
        <v>80.370361328125</v>
      </c>
      <c r="AG8" s="14">
        <v>7937.18798828125</v>
      </c>
      <c r="AH8" s="14">
        <v>0.66092324256896973</v>
      </c>
      <c r="AI8" s="14">
        <v>3.296718835830688</v>
      </c>
      <c r="AJ8" s="14">
        <v>62.480133056640618</v>
      </c>
      <c r="AK8" s="14">
        <v>914.7340087890625</v>
      </c>
      <c r="AL8" s="14">
        <v>253.1600036621094</v>
      </c>
      <c r="AM8" s="14">
        <v>7073.69482421875</v>
      </c>
      <c r="AN8" s="14">
        <v>1957.701904296875</v>
      </c>
      <c r="AO8" s="14">
        <v>81.833465576171875</v>
      </c>
      <c r="AP8" s="14">
        <v>88.9239501953125</v>
      </c>
      <c r="AQ8" s="14">
        <v>8.2649555206298828</v>
      </c>
      <c r="AR8" s="14">
        <v>31.128326416015621</v>
      </c>
      <c r="AS8" s="14">
        <v>407.75860595703119</v>
      </c>
      <c r="AT8" s="14">
        <v>204</v>
      </c>
      <c r="AU8" s="14">
        <v>56.529998779296882</v>
      </c>
      <c r="AV8" s="14">
        <v>1473.339599609375</v>
      </c>
      <c r="AW8" s="14">
        <v>0.1632286012172699</v>
      </c>
      <c r="AX8" s="14">
        <v>1.08447265625</v>
      </c>
      <c r="AY8" s="14">
        <v>2404.531005859375</v>
      </c>
      <c r="AZ8" s="14">
        <v>665.47332763671875</v>
      </c>
      <c r="BA8" s="14">
        <v>18.273210525512699</v>
      </c>
      <c r="BB8" s="14">
        <v>18.521463394165039</v>
      </c>
      <c r="BC8" s="14">
        <v>211.72999572753909</v>
      </c>
      <c r="BD8" s="14">
        <v>1.529289722442627</v>
      </c>
      <c r="BE8" s="14">
        <v>0.76832199096679676</v>
      </c>
      <c r="BF8" s="14">
        <v>60.830051422119141</v>
      </c>
      <c r="BG8" s="14">
        <v>89.247627258300781</v>
      </c>
      <c r="BH8" s="14">
        <v>24.70000076293945</v>
      </c>
      <c r="BI8" s="14">
        <v>219.79505920410159</v>
      </c>
      <c r="BJ8" s="14">
        <v>7.9842262268066406</v>
      </c>
      <c r="BK8" s="14">
        <v>2.763060331344604</v>
      </c>
      <c r="BL8" s="14">
        <v>8.8460617065429688</v>
      </c>
      <c r="BM8" s="14">
        <v>18.09849739074707</v>
      </c>
      <c r="BN8" s="14">
        <v>243.84429931640619</v>
      </c>
      <c r="BO8" s="14">
        <v>203.0654602050781</v>
      </c>
      <c r="BP8" s="14">
        <v>56.200000762939453</v>
      </c>
      <c r="BQ8" s="14">
        <v>881.07391357421875</v>
      </c>
      <c r="BR8" s="14">
        <v>18.166538238525391</v>
      </c>
      <c r="BS8" s="14">
        <v>11.076046943664553</v>
      </c>
      <c r="BT8" s="14">
        <v>0.97000002861022949</v>
      </c>
      <c r="BU8" s="14">
        <v>0.31257051229476929</v>
      </c>
      <c r="BV8" s="14"/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0</v>
      </c>
      <c r="CC8" s="14">
        <v>0</v>
      </c>
      <c r="CD8" s="14">
        <v>4.4478964805603027</v>
      </c>
      <c r="CE8" s="14">
        <v>33.5020751953125</v>
      </c>
      <c r="CF8" s="14">
        <v>786.7137451171875</v>
      </c>
      <c r="CG8" s="14">
        <v>24.100473403930661</v>
      </c>
      <c r="CH8" s="14">
        <v>6.6700000762939453</v>
      </c>
      <c r="CI8" s="14">
        <v>2842.604736328125</v>
      </c>
      <c r="CJ8" s="14">
        <v>-7.1710872650146484</v>
      </c>
      <c r="CK8" s="14">
        <v>-30.302764892578121</v>
      </c>
      <c r="CL8" s="14">
        <v>1417.360229492188</v>
      </c>
      <c r="CM8" s="14">
        <v>392.265869140625</v>
      </c>
      <c r="CN8" s="14">
        <v>2.1560642719268799</v>
      </c>
      <c r="CO8" s="14">
        <v>35.734600067138672</v>
      </c>
      <c r="CP8" s="14">
        <v>96.482810974121094</v>
      </c>
      <c r="CQ8" s="14">
        <v>30.869998931884769</v>
      </c>
      <c r="CR8" s="14">
        <v>15.909999847412109</v>
      </c>
      <c r="CS8" s="14">
        <v>10.540449142456048</v>
      </c>
      <c r="CT8" s="14">
        <v>9.1999969482421875</v>
      </c>
      <c r="CU8" s="14">
        <v>112</v>
      </c>
      <c r="CV8" s="14">
        <v>57</v>
      </c>
      <c r="CW8" s="14">
        <v>348.61788940429688</v>
      </c>
      <c r="CX8" s="14">
        <v>9.9786663055419922</v>
      </c>
      <c r="CY8" s="14">
        <v>5.1428756713867188</v>
      </c>
      <c r="CZ8" s="14">
        <v>4.3825020790100098</v>
      </c>
      <c r="DA8" s="14">
        <v>1117.799438476562</v>
      </c>
      <c r="DB8" s="14">
        <v>2196.6806640625</v>
      </c>
      <c r="DC8" s="14">
        <v>8.8460617065429688</v>
      </c>
      <c r="DD8" s="14">
        <v>18.09849739074707</v>
      </c>
      <c r="DE8" s="14">
        <v>243.84429931640619</v>
      </c>
      <c r="DF8" s="14">
        <v>203.0654602050781</v>
      </c>
      <c r="DG8" s="14">
        <v>56.200000762939453</v>
      </c>
      <c r="DH8" s="14">
        <v>881.07391357421875</v>
      </c>
      <c r="DI8" s="14">
        <v>18.166538238525391</v>
      </c>
      <c r="DJ8" s="14">
        <v>11.076046943664553</v>
      </c>
      <c r="DK8" s="14">
        <v>12.663042068481452</v>
      </c>
      <c r="DL8" s="14">
        <v>5.2285373210906982E-2</v>
      </c>
      <c r="DM8" s="14">
        <v>0.47443351149559027</v>
      </c>
      <c r="DN8" s="14">
        <v>0.68652021884918213</v>
      </c>
      <c r="DO8" s="14">
        <v>0.18999999761581421</v>
      </c>
      <c r="DP8" s="14">
        <v>1.7142536640167241</v>
      </c>
      <c r="DQ8" s="14">
        <v>6.1417121440172202E-2</v>
      </c>
      <c r="DR8" s="14">
        <v>2.155001275241375E-2</v>
      </c>
      <c r="DS8" s="14">
        <v>-7.999997615814209</v>
      </c>
      <c r="DT8" s="14">
        <v>-9.6484780311584487E-2</v>
      </c>
      <c r="DU8" s="14">
        <v>1.0763547420501709</v>
      </c>
      <c r="DV8" s="14">
        <v>2</v>
      </c>
      <c r="DW8" s="14">
        <v>0.43999999761581421</v>
      </c>
      <c r="DX8" s="14">
        <v>3.889154195785522</v>
      </c>
      <c r="DY8" s="14">
        <v>0.14222912490367889</v>
      </c>
      <c r="DZ8" s="15">
        <v>4.8890851438045502E-2</v>
      </c>
    </row>
    <row r="9" spans="1:130" x14ac:dyDescent="0.35">
      <c r="A9" s="16" t="s">
        <v>201</v>
      </c>
      <c r="B9" s="12">
        <v>2022</v>
      </c>
      <c r="C9" s="17" t="s">
        <v>202</v>
      </c>
      <c r="D9" s="12">
        <v>278830527</v>
      </c>
      <c r="E9" s="12">
        <v>3500093638879</v>
      </c>
      <c r="F9" s="12">
        <v>12.42736911773682</v>
      </c>
      <c r="G9" s="12">
        <v>10.560859680175779</v>
      </c>
      <c r="H9" s="12">
        <v>342.65081787109381</v>
      </c>
      <c r="I9" s="12">
        <v>95.541511535644531</v>
      </c>
      <c r="J9" s="12">
        <v>74</v>
      </c>
      <c r="K9" s="12">
        <v>20.620000839233398</v>
      </c>
      <c r="L9" s="12">
        <v>6.1821670532226563</v>
      </c>
      <c r="M9" s="12">
        <v>3.4691505432128911</v>
      </c>
      <c r="N9" s="12">
        <v>675.80999755859375</v>
      </c>
      <c r="O9" s="12">
        <v>59.389862060546882</v>
      </c>
      <c r="P9" s="12">
        <v>453.281005859375</v>
      </c>
      <c r="Q9" s="12">
        <v>4362.9033203125</v>
      </c>
      <c r="R9" s="12">
        <v>1216.510620117188</v>
      </c>
      <c r="S9" s="12">
        <v>736.32537841796875</v>
      </c>
      <c r="T9" s="12">
        <v>205.30999755859381</v>
      </c>
      <c r="U9" s="12">
        <v>10.037882804870611</v>
      </c>
      <c r="V9" s="12">
        <v>353.56201171875</v>
      </c>
      <c r="W9" s="12">
        <v>13900.3388671875</v>
      </c>
      <c r="X9" s="12">
        <v>3875.8388671875</v>
      </c>
      <c r="Y9" s="12">
        <v>61.554832458496087</v>
      </c>
      <c r="Z9" s="12">
        <v>44.171985626220703</v>
      </c>
      <c r="AA9" s="12">
        <v>334.33999633789063</v>
      </c>
      <c r="AB9" s="12">
        <v>1199.07958984375</v>
      </c>
      <c r="AC9" s="12">
        <v>333.54000854492188</v>
      </c>
      <c r="AD9" s="12">
        <v>12.663558959960939</v>
      </c>
      <c r="AE9" s="12">
        <v>25.15439605712891</v>
      </c>
      <c r="AF9" s="12">
        <v>552.561767578125</v>
      </c>
      <c r="AG9" s="12">
        <v>9859.904296875</v>
      </c>
      <c r="AH9" s="12">
        <v>0.78547680377960205</v>
      </c>
      <c r="AI9" s="12">
        <v>26.316741943359379</v>
      </c>
      <c r="AJ9" s="12">
        <v>515.203369140625</v>
      </c>
      <c r="AK9" s="12">
        <v>961.62353515625</v>
      </c>
      <c r="AL9" s="12">
        <v>268.1300048828125</v>
      </c>
      <c r="AM9" s="12">
        <v>8868.84765625</v>
      </c>
      <c r="AN9" s="12">
        <v>2472.9052734375</v>
      </c>
      <c r="AO9" s="12">
        <v>80.38916015625</v>
      </c>
      <c r="AP9" s="12">
        <v>89.792182922363281</v>
      </c>
      <c r="AQ9" s="12">
        <v>-2.3142127990722661</v>
      </c>
      <c r="AR9" s="12">
        <v>-9.4364013671875</v>
      </c>
      <c r="AS9" s="12">
        <v>398.32220458984386</v>
      </c>
      <c r="AT9" s="12">
        <v>203</v>
      </c>
      <c r="AU9" s="12">
        <v>56.709999084472663</v>
      </c>
      <c r="AV9" s="12">
        <v>1428.5458984375</v>
      </c>
      <c r="AW9" s="12">
        <v>-1.575109481811523</v>
      </c>
      <c r="AX9" s="12">
        <v>-10.48193359375</v>
      </c>
      <c r="AY9" s="12">
        <v>2349.06640625</v>
      </c>
      <c r="AZ9" s="12">
        <v>654.99139404296875</v>
      </c>
      <c r="BA9" s="12">
        <v>17.002458572387699</v>
      </c>
      <c r="BB9" s="12">
        <v>14.46323871612549</v>
      </c>
      <c r="BC9" s="12">
        <v>225.4100036621094</v>
      </c>
      <c r="BD9" s="12">
        <v>10.51949405670166</v>
      </c>
      <c r="BE9" s="12">
        <v>6.2338294982910156</v>
      </c>
      <c r="BF9" s="12">
        <v>67.063880920410156</v>
      </c>
      <c r="BG9" s="12">
        <v>97.908935546875</v>
      </c>
      <c r="BH9" s="12">
        <v>27.29999923706055</v>
      </c>
      <c r="BI9" s="12">
        <v>240.5184326171875</v>
      </c>
      <c r="BJ9" s="12">
        <v>8.1849250793457031</v>
      </c>
      <c r="BK9" s="12">
        <v>2.435116291046143</v>
      </c>
      <c r="BL9" s="12">
        <v>13.99080657958984</v>
      </c>
      <c r="BM9" s="12">
        <v>37.282279968261719</v>
      </c>
      <c r="BN9" s="12">
        <v>281.1265869140625</v>
      </c>
      <c r="BO9" s="12">
        <v>234.58695983886719</v>
      </c>
      <c r="BP9" s="12">
        <v>65.410003662109375</v>
      </c>
      <c r="BQ9" s="12">
        <v>1008.234619140625</v>
      </c>
      <c r="BR9" s="12">
        <v>19.610841751098629</v>
      </c>
      <c r="BS9" s="12">
        <v>10.20781898498535</v>
      </c>
      <c r="BT9" s="12">
        <v>0.80000001192092896</v>
      </c>
      <c r="BU9" s="12">
        <v>0.23927739262580869</v>
      </c>
      <c r="BV9" s="12"/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9.0704870223999023</v>
      </c>
      <c r="CE9" s="12">
        <v>71.3587646484375</v>
      </c>
      <c r="CF9" s="12">
        <v>858.072509765625</v>
      </c>
      <c r="CG9" s="12">
        <v>21.9129524230957</v>
      </c>
      <c r="CH9" s="12">
        <v>6.1100001335144043</v>
      </c>
      <c r="CI9" s="12">
        <v>3077.39794921875</v>
      </c>
      <c r="CJ9" s="12">
        <v>-6.6940369606018066</v>
      </c>
      <c r="CK9" s="12">
        <v>-26.2584228515625</v>
      </c>
      <c r="CL9" s="12">
        <v>1312.651977539062</v>
      </c>
      <c r="CM9" s="12">
        <v>366.0074462890625</v>
      </c>
      <c r="CN9" s="12">
        <v>1.8318642377853389</v>
      </c>
      <c r="CO9" s="12">
        <v>31.156955718994141</v>
      </c>
      <c r="CP9" s="12">
        <v>116.55625152587892</v>
      </c>
      <c r="CQ9" s="12">
        <v>37.310001373291023</v>
      </c>
      <c r="CR9" s="12">
        <v>16.690000534057621</v>
      </c>
      <c r="CS9" s="12">
        <v>20.805194854736332</v>
      </c>
      <c r="CT9" s="12">
        <v>20.073440551757809</v>
      </c>
      <c r="CU9" s="12">
        <v>134</v>
      </c>
      <c r="CV9" s="12">
        <v>60</v>
      </c>
      <c r="CW9" s="12">
        <v>418.01824951171881</v>
      </c>
      <c r="CX9" s="12">
        <v>11.18606472015381</v>
      </c>
      <c r="CY9" s="12">
        <v>5.0038976669311523</v>
      </c>
      <c r="CZ9" s="12">
        <v>4.2322039604187012</v>
      </c>
      <c r="DA9" s="12">
        <v>1196.210571289062</v>
      </c>
      <c r="DB9" s="12">
        <v>2749.242431640625</v>
      </c>
      <c r="DC9" s="12">
        <v>13.99080657958984</v>
      </c>
      <c r="DD9" s="12">
        <v>37.282279968261719</v>
      </c>
      <c r="DE9" s="12">
        <v>281.1265869140625</v>
      </c>
      <c r="DF9" s="12">
        <v>234.58695983886719</v>
      </c>
      <c r="DG9" s="12">
        <v>65.410003662109375</v>
      </c>
      <c r="DH9" s="12">
        <v>1008.234619140625</v>
      </c>
      <c r="DI9" s="12">
        <v>19.610841751098629</v>
      </c>
      <c r="DJ9" s="12">
        <v>10.20781898498535</v>
      </c>
      <c r="DK9" s="12">
        <v>130.36549377441409</v>
      </c>
      <c r="DL9" s="12">
        <v>0.61581218242645264</v>
      </c>
      <c r="DM9" s="12">
        <v>1.090245723724365</v>
      </c>
      <c r="DN9" s="12">
        <v>1.578019499778748</v>
      </c>
      <c r="DO9" s="12">
        <v>0.43999999761581421</v>
      </c>
      <c r="DP9" s="12">
        <v>3.910065889358521</v>
      </c>
      <c r="DQ9" s="12">
        <v>0.13191820681095121</v>
      </c>
      <c r="DR9" s="12">
        <v>3.9587259292602539E-2</v>
      </c>
      <c r="DS9" s="12">
        <v>-18.535469055175781</v>
      </c>
      <c r="DT9" s="12">
        <v>-0.20166188478469849</v>
      </c>
      <c r="DU9" s="12">
        <v>0.87469285726547252</v>
      </c>
      <c r="DV9" s="12">
        <v>1</v>
      </c>
      <c r="DW9" s="12">
        <v>0.36000001430511469</v>
      </c>
      <c r="DX9" s="12">
        <v>3.1370053291320801</v>
      </c>
      <c r="DY9" s="12">
        <v>0.10793308168649671</v>
      </c>
      <c r="DZ9" s="13">
        <v>3.1760446727275848E-2</v>
      </c>
    </row>
    <row r="10" spans="1:130" x14ac:dyDescent="0.35">
      <c r="A10" s="18" t="s">
        <v>201</v>
      </c>
      <c r="B10" s="14">
        <v>2023</v>
      </c>
      <c r="C10" s="19" t="s">
        <v>202</v>
      </c>
      <c r="D10" s="14">
        <v>281190068</v>
      </c>
      <c r="E10" s="14"/>
      <c r="F10" s="14">
        <v>17.619661331176761</v>
      </c>
      <c r="G10" s="14">
        <v>16.834091186523441</v>
      </c>
      <c r="H10" s="14">
        <v>399.64285278320313</v>
      </c>
      <c r="I10" s="14">
        <v>112.375602722168</v>
      </c>
      <c r="J10" s="14">
        <v>80</v>
      </c>
      <c r="K10" s="14">
        <v>22.479999542236332</v>
      </c>
      <c r="L10" s="14">
        <v>6.411865234375</v>
      </c>
      <c r="M10" s="14">
        <v>4.0274486541748047</v>
      </c>
      <c r="N10" s="14">
        <v>680.79998779296875</v>
      </c>
      <c r="O10" s="14">
        <v>-1.3649177551269529</v>
      </c>
      <c r="P10" s="14">
        <v>-16.6043701171875</v>
      </c>
      <c r="Q10" s="14">
        <v>4267.24267578125</v>
      </c>
      <c r="R10" s="14">
        <v>1199.90625</v>
      </c>
      <c r="S10" s="14">
        <v>770.9376220703125</v>
      </c>
      <c r="T10" s="14">
        <v>216.7799987792969</v>
      </c>
      <c r="U10" s="14">
        <v>12.764814376831049</v>
      </c>
      <c r="V10" s="14">
        <v>494.74365234375</v>
      </c>
      <c r="W10" s="14">
        <v>15543.1611328125</v>
      </c>
      <c r="X10" s="14">
        <v>4370.58251953125</v>
      </c>
      <c r="Y10" s="14">
        <v>61.831146240234382</v>
      </c>
      <c r="Z10" s="14">
        <v>43.003646850585938</v>
      </c>
      <c r="AA10" s="14">
        <v>351.489990234375</v>
      </c>
      <c r="AB10" s="14">
        <v>1250.008544921875</v>
      </c>
      <c r="AC10" s="14">
        <v>350.60000610351563</v>
      </c>
      <c r="AD10" s="14">
        <v>13.134049415588381</v>
      </c>
      <c r="AE10" s="14">
        <v>1.305544257164001</v>
      </c>
      <c r="AF10" s="14">
        <v>35.892578125</v>
      </c>
      <c r="AG10" s="14">
        <v>9904.8125</v>
      </c>
      <c r="AH10" s="14"/>
      <c r="AI10" s="14">
        <v>0.76495921611785889</v>
      </c>
      <c r="AJ10" s="14">
        <v>18.916717529296879</v>
      </c>
      <c r="AK10" s="14">
        <v>1014.971801757812</v>
      </c>
      <c r="AL10" s="14">
        <v>285.39999389648438</v>
      </c>
      <c r="AM10" s="14">
        <v>8861.7001953125</v>
      </c>
      <c r="AN10" s="14">
        <v>2491.822021484375</v>
      </c>
      <c r="AO10" s="14">
        <v>81.403305053710938</v>
      </c>
      <c r="AP10" s="14">
        <v>89.304840087890625</v>
      </c>
      <c r="AQ10" s="14">
        <v>9.0773124694824219</v>
      </c>
      <c r="AR10" s="14">
        <v>36.156951904296882</v>
      </c>
      <c r="AS10" s="14">
        <v>434.47915649414063</v>
      </c>
      <c r="AT10" s="14">
        <v>221</v>
      </c>
      <c r="AU10" s="14">
        <v>62.040000915527337</v>
      </c>
      <c r="AV10" s="14">
        <v>1545.14404296875</v>
      </c>
      <c r="AW10" s="14">
        <v>4.0378408432006836</v>
      </c>
      <c r="AX10" s="14">
        <v>26.447509765625</v>
      </c>
      <c r="AY10" s="14">
        <v>2423.410400390625</v>
      </c>
      <c r="AZ10" s="14">
        <v>681.43890380859375</v>
      </c>
      <c r="BA10" s="14">
        <v>17.695379257202148</v>
      </c>
      <c r="BB10" s="14">
        <v>15.57137393951416</v>
      </c>
      <c r="BC10" s="14">
        <v>238.69000244140619</v>
      </c>
      <c r="BD10" s="14">
        <v>-9.9102392196655273</v>
      </c>
      <c r="BE10" s="14">
        <v>-7.0882720947265616</v>
      </c>
      <c r="BF10" s="14">
        <v>59.975608825683587</v>
      </c>
      <c r="BG10" s="14">
        <v>87.449745178222656</v>
      </c>
      <c r="BH10" s="14">
        <v>24.590000152587891</v>
      </c>
      <c r="BI10" s="14">
        <v>213.29205322265619</v>
      </c>
      <c r="BJ10" s="14">
        <v>7.0136909484863281</v>
      </c>
      <c r="BK10" s="14">
        <v>2.149476289749146</v>
      </c>
      <c r="BL10" s="14">
        <v>10.33697414398193</v>
      </c>
      <c r="BM10" s="14">
        <v>17.294321060180661</v>
      </c>
      <c r="BN10" s="14">
        <v>298.4208984375</v>
      </c>
      <c r="BO10" s="14">
        <v>231.87162780761719</v>
      </c>
      <c r="BP10" s="14">
        <v>65.199996948242188</v>
      </c>
      <c r="BQ10" s="14">
        <v>1061.278198242188</v>
      </c>
      <c r="BR10" s="14">
        <v>18.5966911315918</v>
      </c>
      <c r="BS10" s="14">
        <v>10.69515800476074</v>
      </c>
      <c r="BT10" s="14">
        <v>0.88999998569488525</v>
      </c>
      <c r="BU10" s="14">
        <v>0.25320777297019958</v>
      </c>
      <c r="BV10" s="14"/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-7.4103787541389465E-2</v>
      </c>
      <c r="CE10" s="14">
        <v>-0.6358642578125</v>
      </c>
      <c r="CF10" s="14">
        <v>857.4366455078125</v>
      </c>
      <c r="CG10" s="14">
        <v>23.400541305541989</v>
      </c>
      <c r="CH10" s="14">
        <v>6.5799999237060547</v>
      </c>
      <c r="CI10" s="14">
        <v>3049.3134765625</v>
      </c>
      <c r="CJ10" s="14">
        <v>-1.1973487138748169</v>
      </c>
      <c r="CK10" s="14">
        <v>-4.38238525390625</v>
      </c>
      <c r="CL10" s="14">
        <v>1286.052001953125</v>
      </c>
      <c r="CM10" s="14">
        <v>361.62506103515619</v>
      </c>
      <c r="CN10" s="14">
        <v>1.8767826557159419</v>
      </c>
      <c r="CO10" s="14">
        <v>30.72982025146484</v>
      </c>
      <c r="CP10" s="14">
        <v>123.15781402587892</v>
      </c>
      <c r="CQ10" s="14">
        <v>39.419998168945313</v>
      </c>
      <c r="CR10" s="14">
        <v>16.940000534057621</v>
      </c>
      <c r="CS10" s="14">
        <v>5.6638402938842773</v>
      </c>
      <c r="CT10" s="14">
        <v>6.6015625</v>
      </c>
      <c r="CU10" s="14">
        <v>140</v>
      </c>
      <c r="CV10" s="14">
        <v>60</v>
      </c>
      <c r="CW10" s="14">
        <v>437.98779296875</v>
      </c>
      <c r="CX10" s="14">
        <v>11.243582725524901</v>
      </c>
      <c r="CY10" s="14">
        <v>4.8317170143127441</v>
      </c>
      <c r="CZ10" s="14">
        <v>4.4138741493225098</v>
      </c>
      <c r="DA10" s="14">
        <v>1246.843505859375</v>
      </c>
      <c r="DB10" s="14">
        <v>2785.135009765625</v>
      </c>
      <c r="DC10" s="14">
        <v>10.33697414398193</v>
      </c>
      <c r="DD10" s="14">
        <v>17.294321060180661</v>
      </c>
      <c r="DE10" s="14">
        <v>298.4208984375</v>
      </c>
      <c r="DF10" s="14">
        <v>231.87162780761719</v>
      </c>
      <c r="DG10" s="14">
        <v>65.199996948242188</v>
      </c>
      <c r="DH10" s="14">
        <v>1061.278198242188</v>
      </c>
      <c r="DI10" s="14">
        <v>18.5966911315918</v>
      </c>
      <c r="DJ10" s="14">
        <v>10.69515800476074</v>
      </c>
      <c r="DK10" s="14">
        <v>60.654003143310547</v>
      </c>
      <c r="DL10" s="14">
        <v>0.64846158027648926</v>
      </c>
      <c r="DM10" s="14">
        <v>1.738707304000854</v>
      </c>
      <c r="DN10" s="14">
        <v>2.5249824523925781</v>
      </c>
      <c r="DO10" s="14">
        <v>0.70999997854232788</v>
      </c>
      <c r="DP10" s="14">
        <v>6.1833882331848136</v>
      </c>
      <c r="DQ10" s="14">
        <v>0.2025099694728851</v>
      </c>
      <c r="DR10" s="14">
        <v>6.2313832342624657E-2</v>
      </c>
      <c r="DS10" s="14">
        <v>35.112358093261719</v>
      </c>
      <c r="DT10" s="14">
        <v>0.29847794771194458</v>
      </c>
      <c r="DU10" s="14">
        <v>1.173170804977417</v>
      </c>
      <c r="DV10" s="14">
        <v>2</v>
      </c>
      <c r="DW10" s="14">
        <v>0.47999998927116388</v>
      </c>
      <c r="DX10" s="14">
        <v>4.1721630096435547</v>
      </c>
      <c r="DY10" s="14">
        <v>0.136908158659935</v>
      </c>
      <c r="DZ10" s="15">
        <v>4.2045470327138901E-2</v>
      </c>
    </row>
    <row r="11" spans="1:130" x14ac:dyDescent="0.35">
      <c r="A11" s="16" t="s">
        <v>201</v>
      </c>
      <c r="B11" s="12">
        <v>2024</v>
      </c>
      <c r="C11" s="17" t="s">
        <v>202</v>
      </c>
      <c r="D11" s="12">
        <v>283487933</v>
      </c>
      <c r="E11" s="12"/>
      <c r="F11" s="12">
        <v>7.3672094345092765</v>
      </c>
      <c r="G11" s="12">
        <v>8.2789459228515625</v>
      </c>
      <c r="H11" s="12">
        <v>425.60736083984386</v>
      </c>
      <c r="I11" s="12">
        <v>120.6545486450195</v>
      </c>
      <c r="J11" s="12">
        <v>75</v>
      </c>
      <c r="K11" s="12">
        <v>21.329999923706051</v>
      </c>
      <c r="L11" s="12">
        <v>5.7409696578979492</v>
      </c>
      <c r="M11" s="12">
        <v>4.0343947410583496</v>
      </c>
      <c r="N11" s="12">
        <v>680.25</v>
      </c>
      <c r="O11" s="12">
        <v>9.2873468399047852</v>
      </c>
      <c r="P11" s="12">
        <v>111.439453125</v>
      </c>
      <c r="Q11" s="12">
        <v>4625.7548828125</v>
      </c>
      <c r="R11" s="12">
        <v>1311.345703125</v>
      </c>
      <c r="S11" s="12">
        <v>805.7838134765625</v>
      </c>
      <c r="T11" s="12">
        <v>228.42999267578119</v>
      </c>
      <c r="U11" s="12">
        <v>7.8624367713928223</v>
      </c>
      <c r="V11" s="12">
        <v>343.63427734375</v>
      </c>
      <c r="W11" s="12">
        <v>16629.337890625</v>
      </c>
      <c r="X11" s="12">
        <v>4714.216796875</v>
      </c>
      <c r="Y11" s="12">
        <v>61.481937408447273</v>
      </c>
      <c r="Z11" s="12">
        <v>43.848213195800781</v>
      </c>
      <c r="AA11" s="12">
        <v>372.5</v>
      </c>
      <c r="AB11" s="12">
        <v>1313.988891601562</v>
      </c>
      <c r="AC11" s="12">
        <v>371.54000854492188</v>
      </c>
      <c r="AD11" s="12">
        <v>13.03232383728027</v>
      </c>
      <c r="AE11" s="12">
        <v>7.1664814949035636</v>
      </c>
      <c r="AF11" s="12">
        <v>199.59619140625</v>
      </c>
      <c r="AG11" s="12">
        <v>10528.6005859375</v>
      </c>
      <c r="AH11" s="12"/>
      <c r="AI11" s="12">
        <v>6.871467113494873</v>
      </c>
      <c r="AJ11" s="12">
        <v>171.2247314453125</v>
      </c>
      <c r="AK11" s="12">
        <v>1073.52001953125</v>
      </c>
      <c r="AL11" s="12">
        <v>304.32998657226563</v>
      </c>
      <c r="AM11" s="12">
        <v>9393.86328125</v>
      </c>
      <c r="AN11" s="12">
        <v>2663.046875</v>
      </c>
      <c r="AO11" s="12">
        <v>81.910423278808594</v>
      </c>
      <c r="AP11" s="12">
        <v>89.045806884765625</v>
      </c>
      <c r="AQ11" s="12">
        <v>8.8008346557617188</v>
      </c>
      <c r="AR11" s="12">
        <v>38.23779296875</v>
      </c>
      <c r="AS11" s="12">
        <v>472.71694946289063</v>
      </c>
      <c r="AT11" s="12">
        <v>243</v>
      </c>
      <c r="AU11" s="12">
        <v>68.779998779296875</v>
      </c>
      <c r="AV11" s="12">
        <v>1667.5029296875</v>
      </c>
      <c r="AW11" s="12">
        <v>4.7617692947387704</v>
      </c>
      <c r="AX11" s="12">
        <v>32.44854736328125</v>
      </c>
      <c r="AY11" s="12">
        <v>2518.228759765625</v>
      </c>
      <c r="AZ11" s="12">
        <v>713.887451171875</v>
      </c>
      <c r="BA11" s="12">
        <v>18.512138366699219</v>
      </c>
      <c r="BB11" s="12">
        <v>15.80650520324707</v>
      </c>
      <c r="BC11" s="12">
        <v>252.74000549316409</v>
      </c>
      <c r="BD11" s="12">
        <v>7.7133207321166992</v>
      </c>
      <c r="BE11" s="12">
        <v>4.6261138916015616</v>
      </c>
      <c r="BF11" s="12">
        <v>64.601722717285156</v>
      </c>
      <c r="BG11" s="12">
        <v>96.265121459960938</v>
      </c>
      <c r="BH11" s="12">
        <v>27.29000091552734</v>
      </c>
      <c r="BI11" s="12">
        <v>227.8817443847656</v>
      </c>
      <c r="BJ11" s="12">
        <v>7.3451042175292969</v>
      </c>
      <c r="BK11" s="12">
        <v>2.160124540328979</v>
      </c>
      <c r="BL11" s="12">
        <v>8.6898574829101563</v>
      </c>
      <c r="BM11" s="12">
        <v>29.180389404296879</v>
      </c>
      <c r="BN11" s="12">
        <v>327.60128784179688</v>
      </c>
      <c r="BO11" s="12">
        <v>237.0823974609375</v>
      </c>
      <c r="BP11" s="12">
        <v>67.209999084472656</v>
      </c>
      <c r="BQ11" s="12">
        <v>1155.609252929688</v>
      </c>
      <c r="BR11" s="12">
        <v>18.089572906494141</v>
      </c>
      <c r="BS11" s="12">
        <v>10.954190254211428</v>
      </c>
      <c r="BT11" s="12">
        <v>0.95999997854232788</v>
      </c>
      <c r="BU11" s="12">
        <v>0.25771811604499822</v>
      </c>
      <c r="BV11" s="12"/>
      <c r="BW11" s="12">
        <v>0</v>
      </c>
      <c r="BX11" s="12">
        <v>0</v>
      </c>
      <c r="BY11" s="12">
        <v>0</v>
      </c>
      <c r="BZ11" s="12">
        <v>0</v>
      </c>
      <c r="CA11" s="12">
        <v>0</v>
      </c>
      <c r="CB11" s="12">
        <v>0</v>
      </c>
      <c r="CC11" s="12">
        <v>0</v>
      </c>
      <c r="CD11" s="12">
        <v>2.5130119323730469</v>
      </c>
      <c r="CE11" s="12">
        <v>21.5474853515625</v>
      </c>
      <c r="CF11" s="12">
        <v>878.984130859375</v>
      </c>
      <c r="CG11" s="12">
        <v>25.115707397460941</v>
      </c>
      <c r="CH11" s="12">
        <v>7.119999885559082</v>
      </c>
      <c r="CI11" s="12">
        <v>3100.60498046875</v>
      </c>
      <c r="CJ11" s="12">
        <v>-3.7777655124664311</v>
      </c>
      <c r="CK11" s="12">
        <v>-13.66134643554688</v>
      </c>
      <c r="CL11" s="12">
        <v>1227.4375</v>
      </c>
      <c r="CM11" s="12">
        <v>347.96371459960938</v>
      </c>
      <c r="CN11" s="12">
        <v>1.9163480997085569</v>
      </c>
      <c r="CO11" s="12">
        <v>29.391092300415039</v>
      </c>
      <c r="CP11" s="12">
        <v>138.91291809082031</v>
      </c>
      <c r="CQ11" s="12">
        <v>38.099998474121087</v>
      </c>
      <c r="CR11" s="12">
        <v>16.770000457763668</v>
      </c>
      <c r="CS11" s="12">
        <v>12.79261493682861</v>
      </c>
      <c r="CT11" s="12">
        <v>15.75510406494141</v>
      </c>
      <c r="CU11" s="12">
        <v>134</v>
      </c>
      <c r="CV11" s="12">
        <v>59</v>
      </c>
      <c r="CW11" s="12">
        <v>490.01351928710938</v>
      </c>
      <c r="CX11" s="12">
        <v>10.25461578369141</v>
      </c>
      <c r="CY11" s="12">
        <v>4.513646125793457</v>
      </c>
      <c r="CZ11" s="12">
        <v>4.6449103355407706</v>
      </c>
      <c r="DA11" s="12">
        <v>1310.6025390625</v>
      </c>
      <c r="DB11" s="12">
        <v>2984.731201171875</v>
      </c>
      <c r="DC11" s="12">
        <v>8.6898574829101563</v>
      </c>
      <c r="DD11" s="12">
        <v>29.180389404296879</v>
      </c>
      <c r="DE11" s="12">
        <v>327.60128784179688</v>
      </c>
      <c r="DF11" s="12">
        <v>237.0823974609375</v>
      </c>
      <c r="DG11" s="12">
        <v>67.209999084472656</v>
      </c>
      <c r="DH11" s="12">
        <v>1155.609252929688</v>
      </c>
      <c r="DI11" s="12">
        <v>18.089572906494141</v>
      </c>
      <c r="DJ11" s="12">
        <v>10.954190254211428</v>
      </c>
      <c r="DK11" s="12">
        <v>29.7353401184082</v>
      </c>
      <c r="DL11" s="12">
        <v>0.51701068878173828</v>
      </c>
      <c r="DM11" s="12">
        <v>2.2557179927825932</v>
      </c>
      <c r="DN11" s="12">
        <v>4.7621073722839364</v>
      </c>
      <c r="DO11" s="12">
        <v>1.3500000238418579</v>
      </c>
      <c r="DP11" s="12">
        <v>7.9570159912109375</v>
      </c>
      <c r="DQ11" s="12">
        <v>0.36335253715515142</v>
      </c>
      <c r="DR11" s="12">
        <v>7.5425721704959869E-2</v>
      </c>
      <c r="DS11" s="12">
        <v>0.27397069334983831</v>
      </c>
      <c r="DT11" s="12">
        <v>3.2141208648681641E-3</v>
      </c>
      <c r="DU11" s="12">
        <v>1.1763849258422847</v>
      </c>
      <c r="DV11" s="12">
        <v>2</v>
      </c>
      <c r="DW11" s="12">
        <v>0.4699999988079071</v>
      </c>
      <c r="DX11" s="12">
        <v>4.1496825218200684</v>
      </c>
      <c r="DY11" s="12">
        <v>0.12650050222873691</v>
      </c>
      <c r="DZ11" s="13">
        <v>3.9335452020168298E-2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39B92-176F-4D94-97D0-D334B88E7037}">
  <dimension ref="A1:T39"/>
  <sheetViews>
    <sheetView topLeftCell="A26" workbookViewId="0">
      <selection activeCell="B38" sqref="B38"/>
    </sheetView>
  </sheetViews>
  <sheetFormatPr defaultRowHeight="14.5" x14ac:dyDescent="0.35"/>
  <cols>
    <col min="1" max="1" width="15.36328125" bestFit="1" customWidth="1"/>
    <col min="2" max="2" width="27.7265625" bestFit="1" customWidth="1"/>
    <col min="3" max="3" width="15.36328125" bestFit="1" customWidth="1"/>
    <col min="4" max="4" width="20.08984375" bestFit="1" customWidth="1"/>
    <col min="5" max="5" width="21.1796875" bestFit="1" customWidth="1"/>
    <col min="6" max="6" width="20.1796875" bestFit="1" customWidth="1"/>
    <col min="7" max="8" width="14.453125" bestFit="1" customWidth="1"/>
    <col min="9" max="9" width="15.81640625" bestFit="1" customWidth="1"/>
    <col min="10" max="10" width="17.36328125" bestFit="1" customWidth="1"/>
    <col min="11" max="11" width="16.26953125" bestFit="1" customWidth="1"/>
    <col min="12" max="12" width="15.453125" bestFit="1" customWidth="1"/>
    <col min="13" max="13" width="15.26953125" bestFit="1" customWidth="1"/>
    <col min="14" max="14" width="15.6328125" bestFit="1" customWidth="1"/>
    <col min="15" max="15" width="13.08984375" bestFit="1" customWidth="1"/>
    <col min="16" max="16" width="24.453125" bestFit="1" customWidth="1"/>
    <col min="17" max="17" width="23.90625" bestFit="1" customWidth="1"/>
    <col min="18" max="18" width="19.81640625" bestFit="1" customWidth="1"/>
    <col min="19" max="19" width="15" bestFit="1" customWidth="1"/>
    <col min="20" max="20" width="11.1796875" bestFit="1" customWidth="1"/>
  </cols>
  <sheetData>
    <row r="1" spans="1:20" x14ac:dyDescent="0.35">
      <c r="A1" t="s">
        <v>45</v>
      </c>
      <c r="B1" t="s">
        <v>46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67</v>
      </c>
    </row>
    <row r="2" spans="1:20" x14ac:dyDescent="0.35">
      <c r="A2">
        <v>11</v>
      </c>
      <c r="B2" s="2" t="s">
        <v>54</v>
      </c>
      <c r="C2">
        <v>10</v>
      </c>
      <c r="D2">
        <v>23.4</v>
      </c>
      <c r="E2">
        <v>4.45</v>
      </c>
      <c r="F2">
        <v>0</v>
      </c>
      <c r="G2">
        <v>1.46</v>
      </c>
      <c r="H2">
        <v>0</v>
      </c>
      <c r="I2">
        <v>0</v>
      </c>
      <c r="J2">
        <v>25.1</v>
      </c>
      <c r="K2">
        <v>0</v>
      </c>
      <c r="L2">
        <v>0</v>
      </c>
      <c r="M2">
        <v>218.94</v>
      </c>
      <c r="N2">
        <v>648</v>
      </c>
      <c r="O2">
        <v>0</v>
      </c>
      <c r="P2">
        <v>0</v>
      </c>
      <c r="Q2">
        <v>24</v>
      </c>
      <c r="R2">
        <v>430.67</v>
      </c>
      <c r="S2">
        <v>0</v>
      </c>
      <c r="T2">
        <v>1386.01</v>
      </c>
    </row>
    <row r="3" spans="1:20" x14ac:dyDescent="0.35">
      <c r="A3">
        <v>51</v>
      </c>
      <c r="B3" s="2" t="s">
        <v>68</v>
      </c>
      <c r="C3">
        <v>0</v>
      </c>
      <c r="D3">
        <v>2.5</v>
      </c>
      <c r="E3">
        <v>0.03</v>
      </c>
      <c r="F3">
        <v>0</v>
      </c>
      <c r="G3">
        <v>41.6</v>
      </c>
      <c r="H3">
        <v>1.08</v>
      </c>
      <c r="I3">
        <v>0</v>
      </c>
      <c r="J3">
        <v>0</v>
      </c>
      <c r="K3">
        <v>0</v>
      </c>
      <c r="L3">
        <v>0</v>
      </c>
      <c r="M3">
        <v>127.71</v>
      </c>
      <c r="N3">
        <v>380</v>
      </c>
      <c r="O3">
        <v>584.53</v>
      </c>
      <c r="P3">
        <v>0</v>
      </c>
      <c r="Q3">
        <v>0</v>
      </c>
      <c r="R3">
        <v>199.66</v>
      </c>
      <c r="S3">
        <v>0</v>
      </c>
      <c r="T3">
        <v>1337.11</v>
      </c>
    </row>
    <row r="4" spans="1:20" x14ac:dyDescent="0.35">
      <c r="A4">
        <v>36</v>
      </c>
      <c r="B4" s="2" t="s">
        <v>59</v>
      </c>
      <c r="C4">
        <v>0</v>
      </c>
      <c r="D4">
        <v>0</v>
      </c>
      <c r="E4">
        <v>15.5</v>
      </c>
      <c r="F4">
        <v>0</v>
      </c>
      <c r="G4">
        <v>91.53</v>
      </c>
      <c r="H4">
        <v>0</v>
      </c>
      <c r="I4">
        <v>0</v>
      </c>
      <c r="J4">
        <v>0</v>
      </c>
      <c r="K4">
        <v>0</v>
      </c>
      <c r="L4">
        <v>0</v>
      </c>
      <c r="M4">
        <v>165.53</v>
      </c>
      <c r="N4">
        <v>11436.44</v>
      </c>
      <c r="O4">
        <v>80.599999999999994</v>
      </c>
      <c r="P4">
        <v>200</v>
      </c>
      <c r="Q4">
        <v>859.4</v>
      </c>
      <c r="R4">
        <v>12.25</v>
      </c>
      <c r="S4">
        <v>18</v>
      </c>
      <c r="T4">
        <v>12879.25</v>
      </c>
    </row>
    <row r="5" spans="1:20" x14ac:dyDescent="0.35">
      <c r="A5">
        <v>17</v>
      </c>
      <c r="B5" s="2" t="s">
        <v>57</v>
      </c>
      <c r="C5">
        <v>277.14999999999998</v>
      </c>
      <c r="D5">
        <v>42.77</v>
      </c>
      <c r="E5">
        <v>2.64</v>
      </c>
      <c r="F5">
        <v>0</v>
      </c>
      <c r="G5">
        <v>0.41</v>
      </c>
      <c r="H5">
        <v>0</v>
      </c>
      <c r="I5">
        <v>3.3</v>
      </c>
      <c r="J5">
        <v>15.04</v>
      </c>
      <c r="K5">
        <v>0</v>
      </c>
      <c r="L5">
        <v>0</v>
      </c>
      <c r="M5">
        <v>21.39</v>
      </c>
      <c r="N5">
        <v>200</v>
      </c>
      <c r="O5">
        <v>0</v>
      </c>
      <c r="P5">
        <v>0</v>
      </c>
      <c r="Q5">
        <v>0</v>
      </c>
      <c r="R5">
        <v>0</v>
      </c>
      <c r="S5">
        <v>0</v>
      </c>
      <c r="T5">
        <v>562.70000000000005</v>
      </c>
    </row>
    <row r="6" spans="1:20" x14ac:dyDescent="0.35">
      <c r="A6">
        <v>34</v>
      </c>
      <c r="B6" s="2" t="s">
        <v>246</v>
      </c>
      <c r="C6">
        <v>0</v>
      </c>
      <c r="D6">
        <v>0</v>
      </c>
      <c r="E6">
        <v>0.5</v>
      </c>
      <c r="F6">
        <v>0</v>
      </c>
      <c r="G6">
        <v>4.17</v>
      </c>
      <c r="H6">
        <v>0</v>
      </c>
      <c r="I6">
        <v>0</v>
      </c>
      <c r="J6">
        <v>3.8</v>
      </c>
      <c r="K6">
        <v>0</v>
      </c>
      <c r="L6">
        <v>0</v>
      </c>
      <c r="M6">
        <v>8.31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16.78</v>
      </c>
    </row>
    <row r="7" spans="1:20" x14ac:dyDescent="0.35">
      <c r="A7">
        <v>31</v>
      </c>
      <c r="B7" s="2" t="s">
        <v>251</v>
      </c>
      <c r="C7">
        <v>0</v>
      </c>
      <c r="D7">
        <v>0</v>
      </c>
      <c r="E7">
        <v>0</v>
      </c>
      <c r="F7">
        <v>0</v>
      </c>
      <c r="G7">
        <v>65.33</v>
      </c>
      <c r="H7">
        <v>0</v>
      </c>
      <c r="I7">
        <v>0</v>
      </c>
      <c r="J7">
        <v>0</v>
      </c>
      <c r="K7">
        <v>0</v>
      </c>
      <c r="L7">
        <v>0</v>
      </c>
      <c r="M7">
        <v>504.12</v>
      </c>
      <c r="N7">
        <v>400</v>
      </c>
      <c r="O7">
        <v>0</v>
      </c>
      <c r="P7">
        <v>0</v>
      </c>
      <c r="Q7">
        <v>4614.07</v>
      </c>
      <c r="R7">
        <v>0</v>
      </c>
      <c r="S7">
        <v>0</v>
      </c>
      <c r="T7">
        <v>5583.52</v>
      </c>
    </row>
    <row r="8" spans="1:20" x14ac:dyDescent="0.35">
      <c r="A8">
        <v>75</v>
      </c>
      <c r="B8" s="2" t="s">
        <v>69</v>
      </c>
      <c r="C8">
        <v>0</v>
      </c>
      <c r="D8">
        <v>14.9</v>
      </c>
      <c r="E8">
        <v>1.67</v>
      </c>
      <c r="F8">
        <v>0</v>
      </c>
      <c r="G8">
        <v>13.21</v>
      </c>
      <c r="H8">
        <v>0</v>
      </c>
      <c r="I8">
        <v>0</v>
      </c>
      <c r="J8">
        <v>1.94</v>
      </c>
      <c r="K8">
        <v>0</v>
      </c>
      <c r="L8">
        <v>0</v>
      </c>
      <c r="M8">
        <v>24.83</v>
      </c>
      <c r="N8">
        <v>176</v>
      </c>
      <c r="O8">
        <v>75</v>
      </c>
      <c r="P8">
        <v>0</v>
      </c>
      <c r="Q8">
        <v>0</v>
      </c>
      <c r="R8">
        <v>0</v>
      </c>
      <c r="S8">
        <v>0</v>
      </c>
      <c r="T8">
        <v>307.55</v>
      </c>
    </row>
    <row r="9" spans="1:20" x14ac:dyDescent="0.35">
      <c r="A9">
        <v>15</v>
      </c>
      <c r="B9" s="2" t="s">
        <v>56</v>
      </c>
      <c r="C9">
        <v>492</v>
      </c>
      <c r="D9">
        <v>3.2</v>
      </c>
      <c r="E9">
        <v>1.01</v>
      </c>
      <c r="F9">
        <v>0</v>
      </c>
      <c r="G9">
        <v>1.87</v>
      </c>
      <c r="H9">
        <v>0</v>
      </c>
      <c r="I9">
        <v>6.2</v>
      </c>
      <c r="J9">
        <v>119.08</v>
      </c>
      <c r="K9">
        <v>0</v>
      </c>
      <c r="L9">
        <v>0</v>
      </c>
      <c r="M9">
        <v>19.260000000000002</v>
      </c>
      <c r="N9">
        <v>318</v>
      </c>
      <c r="O9">
        <v>100</v>
      </c>
      <c r="P9">
        <v>0</v>
      </c>
      <c r="Q9">
        <v>0</v>
      </c>
      <c r="R9">
        <v>116.92</v>
      </c>
      <c r="S9">
        <v>0</v>
      </c>
      <c r="T9">
        <v>1177.54</v>
      </c>
    </row>
    <row r="10" spans="1:20" x14ac:dyDescent="0.35">
      <c r="A10">
        <v>32</v>
      </c>
      <c r="B10" s="2" t="s">
        <v>247</v>
      </c>
      <c r="C10">
        <v>2056.6</v>
      </c>
      <c r="D10">
        <v>237.89</v>
      </c>
      <c r="E10">
        <v>4.13</v>
      </c>
      <c r="F10">
        <v>1260.68</v>
      </c>
      <c r="G10">
        <v>630.85</v>
      </c>
      <c r="H10">
        <v>0</v>
      </c>
      <c r="I10">
        <v>0</v>
      </c>
      <c r="J10">
        <v>0</v>
      </c>
      <c r="K10">
        <v>0</v>
      </c>
      <c r="L10">
        <v>14</v>
      </c>
      <c r="M10">
        <v>432.01</v>
      </c>
      <c r="N10">
        <v>4103.3</v>
      </c>
      <c r="O10">
        <v>1141.6500000000001</v>
      </c>
      <c r="P10">
        <v>0</v>
      </c>
      <c r="Q10">
        <v>4725.7700000000004</v>
      </c>
      <c r="R10">
        <v>3.48</v>
      </c>
      <c r="S10">
        <v>0</v>
      </c>
      <c r="T10">
        <v>14610.35</v>
      </c>
    </row>
    <row r="11" spans="1:20" x14ac:dyDescent="0.35">
      <c r="A11">
        <v>33</v>
      </c>
      <c r="B11" s="2" t="s">
        <v>224</v>
      </c>
      <c r="C11">
        <v>229.8</v>
      </c>
      <c r="D11">
        <v>133.22999999999999</v>
      </c>
      <c r="E11">
        <v>9.76</v>
      </c>
      <c r="F11">
        <v>72.8</v>
      </c>
      <c r="G11">
        <v>108.61</v>
      </c>
      <c r="H11">
        <v>0</v>
      </c>
      <c r="I11">
        <v>0</v>
      </c>
      <c r="J11">
        <v>24.7</v>
      </c>
      <c r="K11">
        <v>0</v>
      </c>
      <c r="L11">
        <v>8</v>
      </c>
      <c r="M11">
        <v>96.85</v>
      </c>
      <c r="N11">
        <v>10422.4</v>
      </c>
      <c r="O11">
        <v>55</v>
      </c>
      <c r="P11">
        <v>0</v>
      </c>
      <c r="Q11">
        <v>1879.65</v>
      </c>
      <c r="R11">
        <v>0</v>
      </c>
      <c r="S11">
        <v>0</v>
      </c>
      <c r="T11">
        <v>13040.8</v>
      </c>
    </row>
    <row r="12" spans="1:20" x14ac:dyDescent="0.35">
      <c r="A12">
        <v>35</v>
      </c>
      <c r="B12" s="2" t="s">
        <v>228</v>
      </c>
      <c r="C12">
        <v>241.67</v>
      </c>
      <c r="D12">
        <v>55.55</v>
      </c>
      <c r="E12">
        <v>9.74</v>
      </c>
      <c r="F12">
        <v>34</v>
      </c>
      <c r="G12">
        <v>177.12</v>
      </c>
      <c r="H12">
        <v>0</v>
      </c>
      <c r="I12">
        <v>2.0499999999999998</v>
      </c>
      <c r="J12">
        <v>178.64</v>
      </c>
      <c r="K12">
        <v>0</v>
      </c>
      <c r="L12">
        <v>13.65</v>
      </c>
      <c r="M12">
        <v>209.37</v>
      </c>
      <c r="N12">
        <v>6965.64</v>
      </c>
      <c r="O12">
        <v>176.43</v>
      </c>
      <c r="P12">
        <v>0</v>
      </c>
      <c r="Q12">
        <v>2837.36</v>
      </c>
      <c r="R12">
        <v>47.55</v>
      </c>
      <c r="S12">
        <v>0</v>
      </c>
      <c r="T12">
        <v>10948.77</v>
      </c>
    </row>
    <row r="13" spans="1:20" x14ac:dyDescent="0.35">
      <c r="A13">
        <v>61</v>
      </c>
      <c r="B13" s="2" t="s">
        <v>248</v>
      </c>
      <c r="C13">
        <v>0</v>
      </c>
      <c r="D13">
        <v>1.32</v>
      </c>
      <c r="E13">
        <v>5.28</v>
      </c>
      <c r="F13">
        <v>0</v>
      </c>
      <c r="G13">
        <v>7.39</v>
      </c>
      <c r="H13">
        <v>0</v>
      </c>
      <c r="I13">
        <v>10.220000000000001</v>
      </c>
      <c r="J13">
        <v>146.16</v>
      </c>
      <c r="K13">
        <v>0</v>
      </c>
      <c r="L13">
        <v>0</v>
      </c>
      <c r="M13">
        <v>323.45</v>
      </c>
      <c r="N13">
        <v>417</v>
      </c>
      <c r="O13">
        <v>34</v>
      </c>
      <c r="P13">
        <v>0</v>
      </c>
      <c r="Q13">
        <v>0</v>
      </c>
      <c r="R13">
        <v>0</v>
      </c>
      <c r="S13">
        <v>0</v>
      </c>
      <c r="T13">
        <v>944.83</v>
      </c>
    </row>
    <row r="14" spans="1:20" x14ac:dyDescent="0.35">
      <c r="A14">
        <v>63</v>
      </c>
      <c r="B14" s="2" t="s">
        <v>233</v>
      </c>
      <c r="C14">
        <v>0</v>
      </c>
      <c r="D14">
        <v>30</v>
      </c>
      <c r="E14">
        <v>0.09</v>
      </c>
      <c r="F14">
        <v>0</v>
      </c>
      <c r="G14">
        <v>21.22</v>
      </c>
      <c r="H14">
        <v>0</v>
      </c>
      <c r="I14">
        <v>7.7</v>
      </c>
      <c r="J14">
        <v>22.85</v>
      </c>
      <c r="K14">
        <v>0</v>
      </c>
      <c r="L14">
        <v>0</v>
      </c>
      <c r="M14">
        <v>151.16999999999999</v>
      </c>
      <c r="N14">
        <v>823</v>
      </c>
      <c r="O14">
        <v>21.55</v>
      </c>
      <c r="P14">
        <v>0</v>
      </c>
      <c r="Q14">
        <v>0</v>
      </c>
      <c r="R14">
        <v>2.4700000000000002</v>
      </c>
      <c r="S14">
        <v>0</v>
      </c>
      <c r="T14">
        <v>1080.06</v>
      </c>
    </row>
    <row r="15" spans="1:20" x14ac:dyDescent="0.35">
      <c r="A15">
        <v>62</v>
      </c>
      <c r="B15" s="2" t="s">
        <v>225</v>
      </c>
      <c r="C15">
        <v>0</v>
      </c>
      <c r="D15">
        <v>0</v>
      </c>
      <c r="E15">
        <v>0.77</v>
      </c>
      <c r="F15">
        <v>0</v>
      </c>
      <c r="G15">
        <v>3.12</v>
      </c>
      <c r="H15">
        <v>0</v>
      </c>
      <c r="I15">
        <v>34.25</v>
      </c>
      <c r="J15">
        <v>407.32</v>
      </c>
      <c r="K15">
        <v>0</v>
      </c>
      <c r="L15">
        <v>0</v>
      </c>
      <c r="M15">
        <v>119.06</v>
      </c>
      <c r="N15">
        <v>389</v>
      </c>
      <c r="O15">
        <v>0</v>
      </c>
      <c r="P15">
        <v>0</v>
      </c>
      <c r="Q15">
        <v>0</v>
      </c>
      <c r="R15">
        <v>155.68</v>
      </c>
      <c r="S15">
        <v>0</v>
      </c>
      <c r="T15">
        <v>1109.2</v>
      </c>
    </row>
    <row r="16" spans="1:20" x14ac:dyDescent="0.35">
      <c r="A16">
        <v>64</v>
      </c>
      <c r="B16" s="2" t="s">
        <v>229</v>
      </c>
      <c r="C16">
        <v>0</v>
      </c>
      <c r="D16">
        <v>0</v>
      </c>
      <c r="E16">
        <v>0.34</v>
      </c>
      <c r="F16">
        <v>0</v>
      </c>
      <c r="G16">
        <v>80.47</v>
      </c>
      <c r="H16">
        <v>0</v>
      </c>
      <c r="I16">
        <v>17.28</v>
      </c>
      <c r="J16">
        <v>101.84</v>
      </c>
      <c r="K16">
        <v>0</v>
      </c>
      <c r="L16">
        <v>0</v>
      </c>
      <c r="M16">
        <v>293.56</v>
      </c>
      <c r="N16">
        <v>1032.26</v>
      </c>
      <c r="O16">
        <v>280.68</v>
      </c>
      <c r="P16">
        <v>0</v>
      </c>
      <c r="Q16">
        <v>177</v>
      </c>
      <c r="R16">
        <v>61.06</v>
      </c>
      <c r="S16">
        <v>0</v>
      </c>
      <c r="T16">
        <v>2044.49</v>
      </c>
    </row>
    <row r="17" spans="1:20" x14ac:dyDescent="0.35">
      <c r="A17">
        <v>65</v>
      </c>
      <c r="B17" s="2" t="s">
        <v>230</v>
      </c>
      <c r="C17">
        <v>0</v>
      </c>
      <c r="D17">
        <v>0.04</v>
      </c>
      <c r="E17">
        <v>2.09</v>
      </c>
      <c r="F17">
        <v>0</v>
      </c>
      <c r="G17">
        <v>3.98</v>
      </c>
      <c r="H17">
        <v>0</v>
      </c>
      <c r="I17">
        <v>0</v>
      </c>
      <c r="J17">
        <v>7.31</v>
      </c>
      <c r="K17">
        <v>0</v>
      </c>
      <c r="L17">
        <v>0</v>
      </c>
      <c r="M17">
        <v>143.21</v>
      </c>
      <c r="N17">
        <v>315</v>
      </c>
      <c r="O17">
        <v>0</v>
      </c>
      <c r="P17">
        <v>30</v>
      </c>
      <c r="Q17">
        <v>0</v>
      </c>
      <c r="R17">
        <v>12</v>
      </c>
      <c r="S17">
        <v>0</v>
      </c>
      <c r="T17">
        <v>513.63</v>
      </c>
    </row>
    <row r="18" spans="1:20" x14ac:dyDescent="0.35">
      <c r="A18">
        <v>19</v>
      </c>
      <c r="B18" s="2" t="s">
        <v>242</v>
      </c>
      <c r="C18">
        <v>0</v>
      </c>
      <c r="D18">
        <v>0</v>
      </c>
      <c r="E18">
        <v>0</v>
      </c>
      <c r="F18">
        <v>0</v>
      </c>
      <c r="G18">
        <v>2.85</v>
      </c>
      <c r="H18">
        <v>0</v>
      </c>
      <c r="I18">
        <v>13.39</v>
      </c>
      <c r="J18">
        <v>112.72</v>
      </c>
      <c r="K18">
        <v>5</v>
      </c>
      <c r="L18">
        <v>0.02</v>
      </c>
      <c r="M18">
        <v>140.44999999999999</v>
      </c>
      <c r="N18">
        <v>119.92</v>
      </c>
      <c r="O18">
        <v>125</v>
      </c>
      <c r="P18">
        <v>0</v>
      </c>
      <c r="Q18">
        <v>0</v>
      </c>
      <c r="R18">
        <v>0</v>
      </c>
      <c r="S18">
        <v>0</v>
      </c>
      <c r="T18">
        <v>519.35</v>
      </c>
    </row>
    <row r="19" spans="1:20" x14ac:dyDescent="0.35">
      <c r="A19">
        <v>21</v>
      </c>
      <c r="B19" s="2" t="s">
        <v>245</v>
      </c>
      <c r="C19">
        <v>0</v>
      </c>
      <c r="D19">
        <v>0</v>
      </c>
      <c r="E19">
        <v>0</v>
      </c>
      <c r="F19">
        <v>0</v>
      </c>
      <c r="G19">
        <v>28.09</v>
      </c>
      <c r="H19">
        <v>0</v>
      </c>
      <c r="I19">
        <v>0</v>
      </c>
      <c r="J19">
        <v>2</v>
      </c>
      <c r="K19">
        <v>0</v>
      </c>
      <c r="L19">
        <v>0</v>
      </c>
      <c r="M19">
        <v>397.15</v>
      </c>
      <c r="N19">
        <v>294</v>
      </c>
      <c r="O19">
        <v>199.76</v>
      </c>
      <c r="P19">
        <v>0</v>
      </c>
      <c r="Q19">
        <v>209.2</v>
      </c>
      <c r="R19">
        <v>291.81</v>
      </c>
      <c r="S19">
        <v>0</v>
      </c>
      <c r="T19">
        <v>1422.02</v>
      </c>
    </row>
    <row r="20" spans="1:20" x14ac:dyDescent="0.35">
      <c r="A20">
        <v>18</v>
      </c>
      <c r="B20" s="2" t="s">
        <v>58</v>
      </c>
      <c r="C20">
        <v>174.6</v>
      </c>
      <c r="D20">
        <v>33.76</v>
      </c>
      <c r="E20">
        <v>0.11</v>
      </c>
      <c r="F20">
        <v>229</v>
      </c>
      <c r="G20">
        <v>7.78</v>
      </c>
      <c r="H20">
        <v>0</v>
      </c>
      <c r="I20">
        <v>3</v>
      </c>
      <c r="J20">
        <v>67.180000000000007</v>
      </c>
      <c r="K20">
        <v>0</v>
      </c>
      <c r="L20">
        <v>0</v>
      </c>
      <c r="M20">
        <v>89.57</v>
      </c>
      <c r="N20">
        <v>467</v>
      </c>
      <c r="O20">
        <v>42.85</v>
      </c>
      <c r="P20">
        <v>0</v>
      </c>
      <c r="Q20">
        <v>0</v>
      </c>
      <c r="R20">
        <v>0</v>
      </c>
      <c r="S20">
        <v>0</v>
      </c>
      <c r="T20">
        <v>1114.8499999999999</v>
      </c>
    </row>
    <row r="21" spans="1:20" x14ac:dyDescent="0.35">
      <c r="A21">
        <v>81</v>
      </c>
      <c r="B21" s="2" t="s">
        <v>70</v>
      </c>
      <c r="C21">
        <v>0</v>
      </c>
      <c r="D21">
        <v>0</v>
      </c>
      <c r="E21">
        <v>0.12</v>
      </c>
      <c r="F21">
        <v>0</v>
      </c>
      <c r="G21">
        <v>2.96</v>
      </c>
      <c r="H21">
        <v>0</v>
      </c>
      <c r="I21">
        <v>0</v>
      </c>
      <c r="J21">
        <v>0</v>
      </c>
      <c r="K21">
        <v>0</v>
      </c>
      <c r="L21">
        <v>0</v>
      </c>
      <c r="M21">
        <v>206.34</v>
      </c>
      <c r="N21">
        <v>0</v>
      </c>
      <c r="O21">
        <v>0</v>
      </c>
      <c r="P21">
        <v>0</v>
      </c>
      <c r="Q21">
        <v>0</v>
      </c>
      <c r="R21">
        <v>146.79</v>
      </c>
      <c r="S21">
        <v>0</v>
      </c>
      <c r="T21">
        <v>356.22</v>
      </c>
    </row>
    <row r="22" spans="1:20" x14ac:dyDescent="0.35">
      <c r="A22">
        <v>82</v>
      </c>
      <c r="B22" s="2" t="s">
        <v>231</v>
      </c>
      <c r="C22">
        <v>0</v>
      </c>
      <c r="D22">
        <v>0</v>
      </c>
      <c r="E22">
        <v>0.01</v>
      </c>
      <c r="F22">
        <v>0</v>
      </c>
      <c r="G22">
        <v>6.16</v>
      </c>
      <c r="H22">
        <v>0</v>
      </c>
      <c r="I22">
        <v>0</v>
      </c>
      <c r="J22">
        <v>0</v>
      </c>
      <c r="K22">
        <v>0</v>
      </c>
      <c r="L22">
        <v>0</v>
      </c>
      <c r="M22">
        <v>151.72</v>
      </c>
      <c r="N22">
        <v>6537</v>
      </c>
      <c r="O22">
        <v>158.5</v>
      </c>
      <c r="P22">
        <v>0</v>
      </c>
      <c r="Q22">
        <v>0</v>
      </c>
      <c r="R22">
        <v>38.72</v>
      </c>
      <c r="S22">
        <v>0</v>
      </c>
      <c r="T22">
        <v>6892.1</v>
      </c>
    </row>
    <row r="23" spans="1:20" x14ac:dyDescent="0.35">
      <c r="A23">
        <v>52</v>
      </c>
      <c r="B23" s="2" t="s">
        <v>249</v>
      </c>
      <c r="C23">
        <v>0</v>
      </c>
      <c r="D23">
        <v>15.2</v>
      </c>
      <c r="E23">
        <v>3.4</v>
      </c>
      <c r="F23">
        <v>0</v>
      </c>
      <c r="G23">
        <v>50.58</v>
      </c>
      <c r="H23">
        <v>0</v>
      </c>
      <c r="I23">
        <v>0</v>
      </c>
      <c r="J23">
        <v>0</v>
      </c>
      <c r="K23">
        <v>0</v>
      </c>
      <c r="L23">
        <v>0</v>
      </c>
      <c r="M23">
        <v>345.97</v>
      </c>
      <c r="N23">
        <v>418.08</v>
      </c>
      <c r="O23">
        <v>50</v>
      </c>
      <c r="P23">
        <v>0</v>
      </c>
      <c r="Q23">
        <v>446.8</v>
      </c>
      <c r="R23">
        <v>191.55</v>
      </c>
      <c r="S23">
        <v>0</v>
      </c>
      <c r="T23">
        <v>1521.58</v>
      </c>
    </row>
    <row r="24" spans="1:20" x14ac:dyDescent="0.35">
      <c r="A24">
        <v>53</v>
      </c>
      <c r="B24" s="2" t="s">
        <v>243</v>
      </c>
      <c r="C24">
        <v>0</v>
      </c>
      <c r="D24">
        <v>4.5999999999999996</v>
      </c>
      <c r="E24">
        <v>7.28</v>
      </c>
      <c r="F24">
        <v>24.08</v>
      </c>
      <c r="G24">
        <v>24.53</v>
      </c>
      <c r="H24">
        <v>0</v>
      </c>
      <c r="I24">
        <v>0</v>
      </c>
      <c r="J24">
        <v>0</v>
      </c>
      <c r="K24">
        <v>0</v>
      </c>
      <c r="L24">
        <v>0</v>
      </c>
      <c r="M24">
        <v>222.94</v>
      </c>
      <c r="N24">
        <v>173</v>
      </c>
      <c r="O24">
        <v>0</v>
      </c>
      <c r="P24">
        <v>0</v>
      </c>
      <c r="Q24">
        <v>0</v>
      </c>
      <c r="R24">
        <v>119.44</v>
      </c>
      <c r="S24">
        <v>0</v>
      </c>
      <c r="T24">
        <v>575.87</v>
      </c>
    </row>
    <row r="25" spans="1:20" x14ac:dyDescent="0.35">
      <c r="A25">
        <v>91</v>
      </c>
      <c r="B25" s="2" t="s">
        <v>61</v>
      </c>
      <c r="C25">
        <v>20.05</v>
      </c>
      <c r="D25">
        <v>0.06</v>
      </c>
      <c r="E25">
        <v>3.43</v>
      </c>
      <c r="F25">
        <v>0</v>
      </c>
      <c r="G25">
        <v>10.75</v>
      </c>
      <c r="H25">
        <v>0</v>
      </c>
      <c r="I25">
        <v>2</v>
      </c>
      <c r="J25">
        <v>1.6</v>
      </c>
      <c r="K25">
        <v>0</v>
      </c>
      <c r="L25">
        <v>0</v>
      </c>
      <c r="M25">
        <v>91.5</v>
      </c>
      <c r="N25">
        <v>24</v>
      </c>
      <c r="O25">
        <v>0</v>
      </c>
      <c r="P25">
        <v>0</v>
      </c>
      <c r="Q25">
        <v>0</v>
      </c>
      <c r="R25">
        <v>260.07</v>
      </c>
      <c r="S25">
        <v>0</v>
      </c>
      <c r="T25">
        <v>413.46</v>
      </c>
    </row>
    <row r="26" spans="1:20" x14ac:dyDescent="0.35">
      <c r="A26">
        <v>92</v>
      </c>
      <c r="B26" s="2" t="s">
        <v>239</v>
      </c>
      <c r="C26">
        <v>0</v>
      </c>
      <c r="D26">
        <v>3.13</v>
      </c>
      <c r="E26">
        <v>1.03</v>
      </c>
      <c r="F26">
        <v>0</v>
      </c>
      <c r="G26">
        <v>12.44</v>
      </c>
      <c r="H26">
        <v>0</v>
      </c>
      <c r="I26">
        <v>0</v>
      </c>
      <c r="J26">
        <v>0.55000000000000004</v>
      </c>
      <c r="K26">
        <v>0</v>
      </c>
      <c r="L26">
        <v>0</v>
      </c>
      <c r="M26">
        <v>102.22</v>
      </c>
      <c r="N26">
        <v>68</v>
      </c>
      <c r="O26">
        <v>0</v>
      </c>
      <c r="P26">
        <v>0</v>
      </c>
      <c r="Q26">
        <v>0</v>
      </c>
      <c r="R26">
        <v>23.56</v>
      </c>
      <c r="S26">
        <v>0</v>
      </c>
      <c r="T26">
        <v>210.92</v>
      </c>
    </row>
    <row r="27" spans="1:20" x14ac:dyDescent="0.35">
      <c r="A27">
        <v>96</v>
      </c>
      <c r="B27" s="2" t="s">
        <v>238</v>
      </c>
      <c r="C27">
        <v>0</v>
      </c>
      <c r="D27">
        <v>3.6</v>
      </c>
      <c r="E27">
        <v>0.04</v>
      </c>
      <c r="F27">
        <v>0</v>
      </c>
      <c r="G27">
        <v>2.37</v>
      </c>
      <c r="H27">
        <v>0</v>
      </c>
      <c r="I27">
        <v>0</v>
      </c>
      <c r="J27">
        <v>2.5</v>
      </c>
      <c r="K27">
        <v>0</v>
      </c>
      <c r="L27">
        <v>0</v>
      </c>
      <c r="M27">
        <v>53.36</v>
      </c>
      <c r="N27">
        <v>0</v>
      </c>
      <c r="O27">
        <v>0</v>
      </c>
      <c r="P27">
        <v>0</v>
      </c>
      <c r="Q27">
        <v>0</v>
      </c>
      <c r="R27">
        <v>85.9</v>
      </c>
      <c r="S27">
        <v>0</v>
      </c>
      <c r="T27">
        <v>147.77000000000001</v>
      </c>
    </row>
    <row r="28" spans="1:20" x14ac:dyDescent="0.35">
      <c r="A28">
        <v>95</v>
      </c>
      <c r="B28" s="2" t="s">
        <v>250</v>
      </c>
      <c r="C28">
        <v>0</v>
      </c>
      <c r="D28">
        <v>0</v>
      </c>
      <c r="E28">
        <v>4.66</v>
      </c>
      <c r="F28">
        <v>0</v>
      </c>
      <c r="G28">
        <v>0.66</v>
      </c>
      <c r="H28">
        <v>0</v>
      </c>
      <c r="I28">
        <v>0</v>
      </c>
      <c r="J28">
        <v>0</v>
      </c>
      <c r="K28">
        <v>0</v>
      </c>
      <c r="L28">
        <v>0</v>
      </c>
      <c r="M28">
        <v>14.02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19.34</v>
      </c>
    </row>
    <row r="29" spans="1:20" x14ac:dyDescent="0.35">
      <c r="A29">
        <v>93</v>
      </c>
      <c r="B29" s="2" t="s">
        <v>234</v>
      </c>
      <c r="C29">
        <v>0</v>
      </c>
      <c r="D29">
        <v>0</v>
      </c>
      <c r="E29">
        <v>0</v>
      </c>
      <c r="F29">
        <v>0</v>
      </c>
      <c r="G29">
        <v>4.66</v>
      </c>
      <c r="H29">
        <v>0</v>
      </c>
      <c r="I29">
        <v>0</v>
      </c>
      <c r="J29">
        <v>3.5</v>
      </c>
      <c r="K29">
        <v>0</v>
      </c>
      <c r="L29">
        <v>0</v>
      </c>
      <c r="M29">
        <v>18.38</v>
      </c>
      <c r="N29">
        <v>0</v>
      </c>
      <c r="O29">
        <v>0</v>
      </c>
      <c r="P29">
        <v>0</v>
      </c>
      <c r="Q29">
        <v>0</v>
      </c>
      <c r="R29">
        <v>44.78</v>
      </c>
      <c r="S29">
        <v>0</v>
      </c>
      <c r="T29">
        <v>71.319999999999993</v>
      </c>
    </row>
    <row r="30" spans="1:20" x14ac:dyDescent="0.35">
      <c r="A30">
        <v>94</v>
      </c>
      <c r="B30" s="2" t="s">
        <v>226</v>
      </c>
      <c r="C30">
        <v>0</v>
      </c>
      <c r="D30">
        <v>0</v>
      </c>
      <c r="E30">
        <v>0</v>
      </c>
      <c r="F30">
        <v>0</v>
      </c>
      <c r="G30">
        <v>2.16</v>
      </c>
      <c r="H30">
        <v>0</v>
      </c>
      <c r="I30">
        <v>0</v>
      </c>
      <c r="J30">
        <v>0</v>
      </c>
      <c r="K30">
        <v>0</v>
      </c>
      <c r="L30">
        <v>0</v>
      </c>
      <c r="M30">
        <v>225.53</v>
      </c>
      <c r="N30">
        <v>414</v>
      </c>
      <c r="O30">
        <v>0</v>
      </c>
      <c r="P30">
        <v>0</v>
      </c>
      <c r="Q30">
        <v>0</v>
      </c>
      <c r="R30">
        <v>42.96</v>
      </c>
      <c r="S30">
        <v>0</v>
      </c>
      <c r="T30">
        <v>684.65</v>
      </c>
    </row>
    <row r="31" spans="1:20" x14ac:dyDescent="0.35">
      <c r="A31">
        <v>14</v>
      </c>
      <c r="B31" s="2" t="s">
        <v>55</v>
      </c>
      <c r="C31">
        <v>114</v>
      </c>
      <c r="D31">
        <v>0</v>
      </c>
      <c r="E31">
        <v>0.06</v>
      </c>
      <c r="F31">
        <v>0</v>
      </c>
      <c r="G31">
        <v>46.71</v>
      </c>
      <c r="H31">
        <v>0</v>
      </c>
      <c r="I31">
        <v>41.26</v>
      </c>
      <c r="J31">
        <v>854.35</v>
      </c>
      <c r="K31">
        <v>0</v>
      </c>
      <c r="L31">
        <v>0</v>
      </c>
      <c r="M31">
        <v>195.98</v>
      </c>
      <c r="N31">
        <v>1504.56</v>
      </c>
      <c r="O31">
        <v>368.2</v>
      </c>
      <c r="P31">
        <v>0</v>
      </c>
      <c r="Q31">
        <v>305</v>
      </c>
      <c r="R31">
        <v>130.13</v>
      </c>
      <c r="S31">
        <v>0</v>
      </c>
      <c r="T31">
        <v>3560.24</v>
      </c>
    </row>
    <row r="32" spans="1:20" x14ac:dyDescent="0.35">
      <c r="A32">
        <v>76</v>
      </c>
      <c r="B32" s="2" t="s">
        <v>240</v>
      </c>
      <c r="C32">
        <v>0</v>
      </c>
      <c r="D32">
        <v>6</v>
      </c>
      <c r="E32">
        <v>2.33</v>
      </c>
      <c r="F32">
        <v>0</v>
      </c>
      <c r="G32">
        <v>1.36</v>
      </c>
      <c r="H32">
        <v>0</v>
      </c>
      <c r="I32">
        <v>0</v>
      </c>
      <c r="J32">
        <v>20.2</v>
      </c>
      <c r="K32">
        <v>0</v>
      </c>
      <c r="L32">
        <v>0</v>
      </c>
      <c r="M32">
        <v>1.77</v>
      </c>
      <c r="N32">
        <v>50</v>
      </c>
      <c r="O32">
        <v>0</v>
      </c>
      <c r="P32">
        <v>0</v>
      </c>
      <c r="Q32">
        <v>0</v>
      </c>
      <c r="R32">
        <v>0</v>
      </c>
      <c r="S32">
        <v>0</v>
      </c>
      <c r="T32">
        <v>81.66</v>
      </c>
    </row>
    <row r="33" spans="1:20" x14ac:dyDescent="0.35">
      <c r="A33">
        <v>73</v>
      </c>
      <c r="B33" s="2" t="s">
        <v>235</v>
      </c>
      <c r="C33">
        <v>737</v>
      </c>
      <c r="D33">
        <v>89.5</v>
      </c>
      <c r="E33">
        <v>3.36</v>
      </c>
      <c r="F33">
        <v>0</v>
      </c>
      <c r="G33">
        <v>14.86</v>
      </c>
      <c r="H33">
        <v>150.75</v>
      </c>
      <c r="I33">
        <v>0</v>
      </c>
      <c r="J33">
        <v>19</v>
      </c>
      <c r="K33">
        <v>0</v>
      </c>
      <c r="L33">
        <v>0</v>
      </c>
      <c r="M33">
        <v>224.87</v>
      </c>
      <c r="N33">
        <v>990</v>
      </c>
      <c r="O33">
        <v>432.99</v>
      </c>
      <c r="P33">
        <v>0</v>
      </c>
      <c r="Q33">
        <v>0</v>
      </c>
      <c r="R33">
        <v>0</v>
      </c>
      <c r="S33">
        <v>0</v>
      </c>
      <c r="T33">
        <v>2662.33</v>
      </c>
    </row>
    <row r="34" spans="1:20" x14ac:dyDescent="0.35">
      <c r="A34">
        <v>72</v>
      </c>
      <c r="B34" s="2" t="s">
        <v>227</v>
      </c>
      <c r="C34">
        <v>581</v>
      </c>
      <c r="D34">
        <v>57.96</v>
      </c>
      <c r="E34">
        <v>5.84</v>
      </c>
      <c r="F34">
        <v>0</v>
      </c>
      <c r="G34">
        <v>1.19</v>
      </c>
      <c r="H34">
        <v>0</v>
      </c>
      <c r="I34">
        <v>0</v>
      </c>
      <c r="J34">
        <v>16.77</v>
      </c>
      <c r="K34">
        <v>0</v>
      </c>
      <c r="L34">
        <v>0</v>
      </c>
      <c r="M34">
        <v>246.43</v>
      </c>
      <c r="N34">
        <v>5884.6</v>
      </c>
      <c r="O34">
        <v>66</v>
      </c>
      <c r="P34">
        <v>220</v>
      </c>
      <c r="Q34">
        <v>0</v>
      </c>
      <c r="R34">
        <v>47.13</v>
      </c>
      <c r="S34">
        <v>0</v>
      </c>
      <c r="T34">
        <v>7126.9</v>
      </c>
    </row>
    <row r="35" spans="1:20" x14ac:dyDescent="0.35">
      <c r="A35">
        <v>74</v>
      </c>
      <c r="B35" s="2" t="s">
        <v>237</v>
      </c>
      <c r="C35">
        <v>0</v>
      </c>
      <c r="D35">
        <v>2</v>
      </c>
      <c r="E35">
        <v>3.7</v>
      </c>
      <c r="F35">
        <v>0</v>
      </c>
      <c r="G35">
        <v>3.95</v>
      </c>
      <c r="H35">
        <v>0</v>
      </c>
      <c r="I35">
        <v>0</v>
      </c>
      <c r="J35">
        <v>0</v>
      </c>
      <c r="K35">
        <v>0</v>
      </c>
      <c r="L35">
        <v>0</v>
      </c>
      <c r="M35">
        <v>205.02</v>
      </c>
      <c r="N35">
        <v>198</v>
      </c>
      <c r="O35">
        <v>25</v>
      </c>
      <c r="P35">
        <v>0</v>
      </c>
      <c r="Q35">
        <v>0</v>
      </c>
      <c r="R35">
        <v>97.8</v>
      </c>
      <c r="S35">
        <v>0</v>
      </c>
      <c r="T35">
        <v>535.47</v>
      </c>
    </row>
    <row r="36" spans="1:20" x14ac:dyDescent="0.35">
      <c r="A36">
        <v>71</v>
      </c>
      <c r="B36" s="2" t="s">
        <v>244</v>
      </c>
      <c r="C36">
        <v>0</v>
      </c>
      <c r="D36">
        <v>61.6</v>
      </c>
      <c r="E36">
        <v>1.86</v>
      </c>
      <c r="F36">
        <v>123.72</v>
      </c>
      <c r="G36">
        <v>23.43</v>
      </c>
      <c r="H36">
        <v>0.08</v>
      </c>
      <c r="I36">
        <v>0</v>
      </c>
      <c r="J36">
        <v>0</v>
      </c>
      <c r="K36">
        <v>0</v>
      </c>
      <c r="L36">
        <v>0</v>
      </c>
      <c r="M36">
        <v>96.52</v>
      </c>
      <c r="N36">
        <v>336</v>
      </c>
      <c r="O36">
        <v>0</v>
      </c>
      <c r="P36">
        <v>0</v>
      </c>
      <c r="Q36">
        <v>0</v>
      </c>
      <c r="R36">
        <v>0</v>
      </c>
      <c r="S36">
        <v>0</v>
      </c>
      <c r="T36">
        <v>643.20000000000005</v>
      </c>
    </row>
    <row r="37" spans="1:20" x14ac:dyDescent="0.35">
      <c r="A37">
        <v>13</v>
      </c>
      <c r="B37" s="2" t="s">
        <v>241</v>
      </c>
      <c r="C37">
        <v>243</v>
      </c>
      <c r="D37">
        <v>78.739999999999995</v>
      </c>
      <c r="E37">
        <v>1.95</v>
      </c>
      <c r="F37">
        <v>89.25</v>
      </c>
      <c r="G37">
        <v>3.38</v>
      </c>
      <c r="H37">
        <v>0</v>
      </c>
      <c r="I37">
        <v>1.7</v>
      </c>
      <c r="J37">
        <v>81.27</v>
      </c>
      <c r="K37">
        <v>0</v>
      </c>
      <c r="L37">
        <v>0</v>
      </c>
      <c r="M37">
        <v>20.29</v>
      </c>
      <c r="N37">
        <v>432.5</v>
      </c>
      <c r="O37">
        <v>64.5</v>
      </c>
      <c r="P37">
        <v>0</v>
      </c>
      <c r="Q37">
        <v>0</v>
      </c>
      <c r="R37">
        <v>0</v>
      </c>
      <c r="S37">
        <v>0</v>
      </c>
      <c r="T37">
        <v>1016.58</v>
      </c>
    </row>
    <row r="38" spans="1:20" x14ac:dyDescent="0.35">
      <c r="A38">
        <v>16</v>
      </c>
      <c r="B38" s="2" t="s">
        <v>236</v>
      </c>
      <c r="C38">
        <v>0</v>
      </c>
      <c r="D38">
        <v>21.01</v>
      </c>
      <c r="E38">
        <v>0.36</v>
      </c>
      <c r="F38">
        <v>213.33</v>
      </c>
      <c r="G38">
        <v>13.57</v>
      </c>
      <c r="H38">
        <v>0</v>
      </c>
      <c r="I38">
        <v>16.16</v>
      </c>
      <c r="J38">
        <v>822.13</v>
      </c>
      <c r="K38">
        <v>0</v>
      </c>
      <c r="L38">
        <v>0</v>
      </c>
      <c r="M38">
        <v>46.84</v>
      </c>
      <c r="N38">
        <v>3256.44</v>
      </c>
      <c r="O38">
        <v>281.20999999999998</v>
      </c>
      <c r="P38">
        <v>0</v>
      </c>
      <c r="Q38">
        <v>537.42999999999995</v>
      </c>
      <c r="R38">
        <v>36.83</v>
      </c>
      <c r="S38">
        <v>0</v>
      </c>
      <c r="T38">
        <v>5245.31</v>
      </c>
    </row>
    <row r="39" spans="1:20" x14ac:dyDescent="0.35">
      <c r="A39">
        <v>12</v>
      </c>
      <c r="B39" s="2" t="s">
        <v>232</v>
      </c>
      <c r="C39">
        <v>1195.55</v>
      </c>
      <c r="D39">
        <v>18.5</v>
      </c>
      <c r="E39">
        <v>183.98</v>
      </c>
      <c r="F39">
        <v>710.54</v>
      </c>
      <c r="G39">
        <v>17.34</v>
      </c>
      <c r="H39">
        <v>0</v>
      </c>
      <c r="I39">
        <v>23.27</v>
      </c>
      <c r="J39">
        <v>374.91</v>
      </c>
      <c r="K39">
        <v>0</v>
      </c>
      <c r="L39">
        <v>0</v>
      </c>
      <c r="M39">
        <v>190.44</v>
      </c>
      <c r="N39">
        <v>1349</v>
      </c>
      <c r="O39">
        <v>219.26</v>
      </c>
      <c r="P39">
        <v>0</v>
      </c>
      <c r="Q39">
        <v>817.88</v>
      </c>
      <c r="R39">
        <v>34.5</v>
      </c>
      <c r="S39">
        <v>0</v>
      </c>
      <c r="T39">
        <v>5135.16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9C9A-0980-44CC-BB35-6678DA760052}">
  <dimension ref="A1:H33"/>
  <sheetViews>
    <sheetView workbookViewId="0">
      <selection activeCell="A8" sqref="A8"/>
    </sheetView>
  </sheetViews>
  <sheetFormatPr defaultRowHeight="14.5" x14ac:dyDescent="0.35"/>
  <cols>
    <col min="1" max="1" width="15.36328125" bestFit="1" customWidth="1"/>
    <col min="2" max="2" width="24.7265625" bestFit="1" customWidth="1"/>
    <col min="3" max="3" width="25.08984375" bestFit="1" customWidth="1"/>
    <col min="4" max="4" width="26.1796875" bestFit="1" customWidth="1"/>
    <col min="5" max="5" width="22.453125" bestFit="1" customWidth="1"/>
    <col min="6" max="6" width="22.08984375" bestFit="1" customWidth="1"/>
    <col min="7" max="7" width="20.453125" bestFit="1" customWidth="1"/>
    <col min="8" max="8" width="11.1796875" bestFit="1" customWidth="1"/>
  </cols>
  <sheetData>
    <row r="1" spans="1:8" x14ac:dyDescent="0.35">
      <c r="A1" t="s">
        <v>45</v>
      </c>
      <c r="B1" t="s">
        <v>46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35">
      <c r="A2">
        <v>11</v>
      </c>
      <c r="B2" s="2" t="s">
        <v>54</v>
      </c>
      <c r="C2">
        <v>324</v>
      </c>
      <c r="D2">
        <v>159</v>
      </c>
      <c r="E2">
        <v>523</v>
      </c>
      <c r="F2">
        <v>25</v>
      </c>
      <c r="G2">
        <v>0</v>
      </c>
      <c r="H2">
        <v>1031</v>
      </c>
    </row>
    <row r="3" spans="1:8" x14ac:dyDescent="0.35">
      <c r="A3">
        <v>51</v>
      </c>
      <c r="B3" s="2" t="s">
        <v>68</v>
      </c>
      <c r="C3">
        <v>70</v>
      </c>
      <c r="D3">
        <v>21</v>
      </c>
      <c r="E3">
        <v>104</v>
      </c>
      <c r="F3">
        <v>110</v>
      </c>
      <c r="G3">
        <v>30</v>
      </c>
      <c r="H3">
        <v>335</v>
      </c>
    </row>
    <row r="4" spans="1:8" x14ac:dyDescent="0.35">
      <c r="A4">
        <v>36</v>
      </c>
      <c r="B4" s="2" t="s">
        <v>59</v>
      </c>
      <c r="C4">
        <v>34</v>
      </c>
      <c r="D4">
        <v>161</v>
      </c>
      <c r="E4">
        <v>323</v>
      </c>
      <c r="F4">
        <v>0</v>
      </c>
      <c r="G4">
        <v>0</v>
      </c>
      <c r="H4">
        <v>518</v>
      </c>
    </row>
    <row r="5" spans="1:8" x14ac:dyDescent="0.35">
      <c r="A5">
        <v>17</v>
      </c>
      <c r="B5" s="2" t="s">
        <v>57</v>
      </c>
      <c r="C5">
        <v>134</v>
      </c>
      <c r="D5">
        <v>0</v>
      </c>
      <c r="E5">
        <v>355</v>
      </c>
      <c r="F5">
        <v>149</v>
      </c>
      <c r="G5">
        <v>200</v>
      </c>
      <c r="H5">
        <v>838</v>
      </c>
    </row>
    <row r="6" spans="1:8" x14ac:dyDescent="0.35">
      <c r="A6">
        <v>34</v>
      </c>
      <c r="B6" s="2" t="s">
        <v>246</v>
      </c>
      <c r="C6">
        <v>0</v>
      </c>
      <c r="D6">
        <v>0</v>
      </c>
      <c r="E6">
        <v>10</v>
      </c>
      <c r="F6">
        <v>0</v>
      </c>
      <c r="G6">
        <v>0</v>
      </c>
      <c r="H6">
        <v>10</v>
      </c>
    </row>
    <row r="7" spans="1:8" x14ac:dyDescent="0.35">
      <c r="A7">
        <v>75</v>
      </c>
      <c r="B7" s="2" t="s">
        <v>69</v>
      </c>
      <c r="C7">
        <v>129</v>
      </c>
      <c r="D7">
        <v>11</v>
      </c>
      <c r="E7">
        <v>20</v>
      </c>
      <c r="F7">
        <v>0</v>
      </c>
      <c r="G7">
        <v>0</v>
      </c>
      <c r="H7">
        <v>160</v>
      </c>
    </row>
    <row r="8" spans="1:8" x14ac:dyDescent="0.35">
      <c r="A8">
        <v>15</v>
      </c>
      <c r="B8" s="2" t="s">
        <v>56</v>
      </c>
      <c r="C8">
        <v>352</v>
      </c>
      <c r="D8">
        <v>87</v>
      </c>
      <c r="E8">
        <v>295</v>
      </c>
      <c r="F8">
        <v>35</v>
      </c>
      <c r="G8">
        <v>10</v>
      </c>
      <c r="H8">
        <v>779</v>
      </c>
    </row>
    <row r="9" spans="1:8" x14ac:dyDescent="0.35">
      <c r="A9">
        <v>32</v>
      </c>
      <c r="B9" s="2" t="s">
        <v>247</v>
      </c>
      <c r="C9">
        <v>720</v>
      </c>
      <c r="D9">
        <v>526</v>
      </c>
      <c r="E9">
        <v>1609</v>
      </c>
      <c r="F9">
        <v>110</v>
      </c>
      <c r="G9">
        <v>1455</v>
      </c>
      <c r="H9">
        <v>4420</v>
      </c>
    </row>
    <row r="10" spans="1:8" x14ac:dyDescent="0.35">
      <c r="A10">
        <v>33</v>
      </c>
      <c r="B10" s="2" t="s">
        <v>224</v>
      </c>
      <c r="C10">
        <v>141</v>
      </c>
      <c r="D10">
        <v>271</v>
      </c>
      <c r="E10">
        <v>524</v>
      </c>
      <c r="F10">
        <v>130</v>
      </c>
      <c r="G10">
        <v>275</v>
      </c>
      <c r="H10">
        <v>1341</v>
      </c>
    </row>
    <row r="11" spans="1:8" x14ac:dyDescent="0.35">
      <c r="A11">
        <v>35</v>
      </c>
      <c r="B11" s="2" t="s">
        <v>228</v>
      </c>
      <c r="C11">
        <v>70</v>
      </c>
      <c r="D11">
        <v>365</v>
      </c>
      <c r="E11">
        <v>770</v>
      </c>
      <c r="F11">
        <v>59</v>
      </c>
      <c r="G11">
        <v>35</v>
      </c>
      <c r="H11">
        <v>1299</v>
      </c>
    </row>
    <row r="12" spans="1:8" x14ac:dyDescent="0.35">
      <c r="A12">
        <v>61</v>
      </c>
      <c r="B12" s="2" t="s">
        <v>248</v>
      </c>
      <c r="C12">
        <v>65</v>
      </c>
      <c r="D12">
        <v>0</v>
      </c>
      <c r="E12">
        <v>0</v>
      </c>
      <c r="F12">
        <v>0</v>
      </c>
      <c r="G12">
        <v>0</v>
      </c>
      <c r="H12">
        <v>65</v>
      </c>
    </row>
    <row r="13" spans="1:8" x14ac:dyDescent="0.35">
      <c r="A13">
        <v>63</v>
      </c>
      <c r="B13" s="2" t="s">
        <v>233</v>
      </c>
      <c r="C13">
        <v>49</v>
      </c>
      <c r="D13">
        <v>1</v>
      </c>
      <c r="E13">
        <v>0</v>
      </c>
      <c r="F13">
        <v>0</v>
      </c>
      <c r="G13">
        <v>0</v>
      </c>
      <c r="H13">
        <v>50</v>
      </c>
    </row>
    <row r="14" spans="1:8" x14ac:dyDescent="0.35">
      <c r="A14">
        <v>64</v>
      </c>
      <c r="B14" s="2" t="s">
        <v>229</v>
      </c>
      <c r="C14">
        <v>32</v>
      </c>
      <c r="D14">
        <v>0</v>
      </c>
      <c r="E14">
        <v>0</v>
      </c>
      <c r="F14">
        <v>0</v>
      </c>
      <c r="G14">
        <v>0</v>
      </c>
      <c r="H14">
        <v>32</v>
      </c>
    </row>
    <row r="15" spans="1:8" x14ac:dyDescent="0.35">
      <c r="A15">
        <v>65</v>
      </c>
      <c r="B15" s="2" t="s">
        <v>230</v>
      </c>
      <c r="C15">
        <v>20</v>
      </c>
      <c r="D15">
        <v>17</v>
      </c>
      <c r="E15">
        <v>6</v>
      </c>
      <c r="F15">
        <v>0</v>
      </c>
      <c r="G15">
        <v>0</v>
      </c>
      <c r="H15">
        <v>43</v>
      </c>
    </row>
    <row r="16" spans="1:8" x14ac:dyDescent="0.35">
      <c r="A16">
        <v>19</v>
      </c>
      <c r="B16" s="2" t="s">
        <v>242</v>
      </c>
      <c r="C16">
        <v>35</v>
      </c>
      <c r="D16">
        <v>11</v>
      </c>
      <c r="E16">
        <v>0</v>
      </c>
      <c r="F16">
        <v>0</v>
      </c>
      <c r="G16">
        <v>0</v>
      </c>
      <c r="H16">
        <v>46</v>
      </c>
    </row>
    <row r="17" spans="1:8" x14ac:dyDescent="0.35">
      <c r="A17">
        <v>21</v>
      </c>
      <c r="B17" s="2" t="s">
        <v>245</v>
      </c>
      <c r="C17">
        <v>7</v>
      </c>
      <c r="D17">
        <v>0</v>
      </c>
      <c r="E17">
        <v>0</v>
      </c>
      <c r="F17">
        <v>0</v>
      </c>
      <c r="G17">
        <v>0</v>
      </c>
      <c r="H17">
        <v>7</v>
      </c>
    </row>
    <row r="18" spans="1:8" x14ac:dyDescent="0.35">
      <c r="A18">
        <v>18</v>
      </c>
      <c r="B18" s="2" t="s">
        <v>58</v>
      </c>
      <c r="C18">
        <v>375</v>
      </c>
      <c r="D18">
        <v>28</v>
      </c>
      <c r="E18">
        <v>796</v>
      </c>
      <c r="F18">
        <v>273</v>
      </c>
      <c r="G18">
        <v>260</v>
      </c>
      <c r="H18">
        <v>1732</v>
      </c>
    </row>
    <row r="19" spans="1:8" x14ac:dyDescent="0.35">
      <c r="A19">
        <v>81</v>
      </c>
      <c r="B19" s="2" t="s">
        <v>70</v>
      </c>
      <c r="C19">
        <v>325</v>
      </c>
      <c r="D19">
        <v>73</v>
      </c>
      <c r="E19">
        <v>128</v>
      </c>
      <c r="F19">
        <v>36</v>
      </c>
      <c r="G19">
        <v>2</v>
      </c>
      <c r="H19">
        <v>564</v>
      </c>
    </row>
    <row r="20" spans="1:8" x14ac:dyDescent="0.35">
      <c r="A20">
        <v>82</v>
      </c>
      <c r="B20" s="2" t="s">
        <v>231</v>
      </c>
      <c r="C20">
        <v>190</v>
      </c>
      <c r="D20">
        <v>7</v>
      </c>
      <c r="E20">
        <v>321</v>
      </c>
      <c r="F20">
        <v>133</v>
      </c>
      <c r="G20">
        <v>55</v>
      </c>
      <c r="H20">
        <v>706</v>
      </c>
    </row>
    <row r="21" spans="1:8" x14ac:dyDescent="0.35">
      <c r="A21">
        <v>52</v>
      </c>
      <c r="B21" s="2" t="s">
        <v>249</v>
      </c>
      <c r="C21">
        <v>6</v>
      </c>
      <c r="D21">
        <v>0</v>
      </c>
      <c r="E21">
        <v>11</v>
      </c>
      <c r="F21">
        <v>61</v>
      </c>
      <c r="G21">
        <v>0</v>
      </c>
      <c r="H21">
        <v>78</v>
      </c>
    </row>
    <row r="22" spans="1:8" x14ac:dyDescent="0.35">
      <c r="A22">
        <v>53</v>
      </c>
      <c r="B22" s="2" t="s">
        <v>243</v>
      </c>
      <c r="C22">
        <v>273</v>
      </c>
      <c r="D22">
        <v>145</v>
      </c>
      <c r="E22">
        <v>605</v>
      </c>
      <c r="F22">
        <v>138</v>
      </c>
      <c r="G22">
        <v>34</v>
      </c>
      <c r="H22">
        <v>1195</v>
      </c>
    </row>
    <row r="23" spans="1:8" x14ac:dyDescent="0.35">
      <c r="A23">
        <v>92</v>
      </c>
      <c r="B23" s="2" t="s">
        <v>239</v>
      </c>
      <c r="C23">
        <v>50</v>
      </c>
      <c r="D23">
        <v>0</v>
      </c>
      <c r="E23">
        <v>0</v>
      </c>
      <c r="F23">
        <v>0</v>
      </c>
      <c r="G23">
        <v>0</v>
      </c>
      <c r="H23">
        <v>50</v>
      </c>
    </row>
    <row r="24" spans="1:8" x14ac:dyDescent="0.35">
      <c r="A24">
        <v>96</v>
      </c>
      <c r="B24" s="2" t="s">
        <v>238</v>
      </c>
      <c r="C24">
        <v>50</v>
      </c>
      <c r="D24">
        <v>0</v>
      </c>
      <c r="E24">
        <v>0</v>
      </c>
      <c r="F24">
        <v>0</v>
      </c>
      <c r="G24">
        <v>0</v>
      </c>
      <c r="H24">
        <v>50</v>
      </c>
    </row>
    <row r="25" spans="1:8" x14ac:dyDescent="0.35">
      <c r="A25">
        <v>14</v>
      </c>
      <c r="B25" s="2" t="s">
        <v>55</v>
      </c>
      <c r="C25">
        <v>45</v>
      </c>
      <c r="D25">
        <v>0</v>
      </c>
      <c r="E25">
        <v>0</v>
      </c>
      <c r="F25">
        <v>0</v>
      </c>
      <c r="G25">
        <v>0</v>
      </c>
      <c r="H25">
        <v>45</v>
      </c>
    </row>
    <row r="26" spans="1:8" x14ac:dyDescent="0.35">
      <c r="A26">
        <v>76</v>
      </c>
      <c r="B26" s="2" t="s">
        <v>240</v>
      </c>
      <c r="C26">
        <v>163</v>
      </c>
      <c r="D26">
        <v>181</v>
      </c>
      <c r="E26">
        <v>34</v>
      </c>
      <c r="F26">
        <v>0</v>
      </c>
      <c r="G26">
        <v>0</v>
      </c>
      <c r="H26">
        <v>378</v>
      </c>
    </row>
    <row r="27" spans="1:8" x14ac:dyDescent="0.35">
      <c r="A27">
        <v>73</v>
      </c>
      <c r="B27" s="2" t="s">
        <v>235</v>
      </c>
      <c r="C27">
        <v>259</v>
      </c>
      <c r="D27">
        <v>112</v>
      </c>
      <c r="E27">
        <v>154</v>
      </c>
      <c r="F27">
        <v>0</v>
      </c>
      <c r="G27">
        <v>0</v>
      </c>
      <c r="H27">
        <v>525</v>
      </c>
    </row>
    <row r="28" spans="1:8" x14ac:dyDescent="0.35">
      <c r="A28">
        <v>72</v>
      </c>
      <c r="B28" s="2" t="s">
        <v>227</v>
      </c>
      <c r="C28">
        <v>391</v>
      </c>
      <c r="D28">
        <v>70</v>
      </c>
      <c r="E28">
        <v>227</v>
      </c>
      <c r="F28">
        <v>0</v>
      </c>
      <c r="G28">
        <v>0</v>
      </c>
      <c r="H28">
        <v>688</v>
      </c>
    </row>
    <row r="29" spans="1:8" x14ac:dyDescent="0.35">
      <c r="A29">
        <v>74</v>
      </c>
      <c r="B29" s="2" t="s">
        <v>237</v>
      </c>
      <c r="C29">
        <v>200</v>
      </c>
      <c r="D29">
        <v>36</v>
      </c>
      <c r="E29">
        <v>80</v>
      </c>
      <c r="F29">
        <v>0</v>
      </c>
      <c r="G29">
        <v>0</v>
      </c>
      <c r="H29">
        <v>316</v>
      </c>
    </row>
    <row r="30" spans="1:8" x14ac:dyDescent="0.35">
      <c r="A30">
        <v>71</v>
      </c>
      <c r="B30" s="2" t="s">
        <v>244</v>
      </c>
      <c r="C30">
        <v>59</v>
      </c>
      <c r="D30">
        <v>51</v>
      </c>
      <c r="E30">
        <v>571</v>
      </c>
      <c r="F30">
        <v>108</v>
      </c>
      <c r="G30">
        <v>150</v>
      </c>
      <c r="H30">
        <v>939</v>
      </c>
    </row>
    <row r="31" spans="1:8" x14ac:dyDescent="0.35">
      <c r="A31">
        <v>13</v>
      </c>
      <c r="B31" s="2" t="s">
        <v>241</v>
      </c>
      <c r="C31">
        <v>446</v>
      </c>
      <c r="D31">
        <v>598</v>
      </c>
      <c r="E31">
        <v>469</v>
      </c>
      <c r="F31">
        <v>50</v>
      </c>
      <c r="G31">
        <v>85</v>
      </c>
      <c r="H31">
        <v>1648</v>
      </c>
    </row>
    <row r="32" spans="1:8" x14ac:dyDescent="0.35">
      <c r="A32">
        <v>16</v>
      </c>
      <c r="B32" s="2" t="s">
        <v>236</v>
      </c>
      <c r="C32">
        <v>225</v>
      </c>
      <c r="D32">
        <v>230</v>
      </c>
      <c r="E32">
        <v>502</v>
      </c>
      <c r="F32">
        <v>252</v>
      </c>
      <c r="G32">
        <v>241</v>
      </c>
      <c r="H32">
        <v>1450</v>
      </c>
    </row>
    <row r="33" spans="1:8" x14ac:dyDescent="0.35">
      <c r="A33">
        <v>12</v>
      </c>
      <c r="B33" s="2" t="s">
        <v>232</v>
      </c>
      <c r="C33">
        <v>225</v>
      </c>
      <c r="D33">
        <v>388</v>
      </c>
      <c r="E33">
        <v>613</v>
      </c>
      <c r="F33">
        <v>39</v>
      </c>
      <c r="G33">
        <v>601</v>
      </c>
      <c r="H33">
        <v>1866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1F4D0-E4DA-4666-A0B9-8F1EBB7B42F5}">
  <dimension ref="A1:I67"/>
  <sheetViews>
    <sheetView topLeftCell="A12" zoomScale="85" zoomScaleNormal="85" workbookViewId="0">
      <selection activeCell="A23" sqref="A23"/>
    </sheetView>
  </sheetViews>
  <sheetFormatPr defaultRowHeight="14.5" x14ac:dyDescent="0.35"/>
  <cols>
    <col min="1" max="1" width="15.36328125" bestFit="1" customWidth="1"/>
    <col min="2" max="2" width="16.81640625" bestFit="1" customWidth="1"/>
    <col min="3" max="3" width="22.36328125" bestFit="1" customWidth="1"/>
    <col min="4" max="4" width="19.6328125" bestFit="1" customWidth="1"/>
    <col min="5" max="5" width="21.6328125" bestFit="1" customWidth="1"/>
    <col min="6" max="6" width="22.6328125" bestFit="1" customWidth="1"/>
    <col min="7" max="7" width="23.36328125" bestFit="1" customWidth="1"/>
    <col min="8" max="8" width="18.81640625" bestFit="1" customWidth="1"/>
    <col min="9" max="9" width="17.7265625" bestFit="1" customWidth="1"/>
  </cols>
  <sheetData>
    <row r="1" spans="1:9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</row>
    <row r="2" spans="1:9" x14ac:dyDescent="0.35">
      <c r="A2">
        <v>11</v>
      </c>
      <c r="B2" s="2" t="s">
        <v>54</v>
      </c>
      <c r="C2">
        <v>1.1599999999999999</v>
      </c>
      <c r="D2">
        <v>20.92</v>
      </c>
      <c r="E2">
        <v>314.58</v>
      </c>
      <c r="F2">
        <v>401.94</v>
      </c>
      <c r="G2">
        <v>326.23</v>
      </c>
      <c r="H2">
        <v>1042.75</v>
      </c>
      <c r="I2">
        <v>507.05</v>
      </c>
    </row>
    <row r="3" spans="1:9" x14ac:dyDescent="0.35">
      <c r="A3">
        <v>36</v>
      </c>
      <c r="B3" s="2" t="s">
        <v>59</v>
      </c>
      <c r="C3">
        <v>5.47</v>
      </c>
      <c r="D3">
        <v>52.2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5">
      <c r="A4">
        <v>17</v>
      </c>
      <c r="B4" s="2" t="s">
        <v>57</v>
      </c>
      <c r="C4">
        <v>44.28</v>
      </c>
      <c r="D4">
        <v>211.92</v>
      </c>
      <c r="E4">
        <v>95.95</v>
      </c>
      <c r="F4">
        <v>88.02</v>
      </c>
      <c r="G4">
        <v>162.28</v>
      </c>
      <c r="H4">
        <v>346.24</v>
      </c>
      <c r="I4">
        <v>149.47</v>
      </c>
    </row>
    <row r="5" spans="1:9" x14ac:dyDescent="0.35">
      <c r="A5">
        <v>15</v>
      </c>
      <c r="B5" s="2" t="s">
        <v>56</v>
      </c>
      <c r="C5">
        <v>142.37</v>
      </c>
      <c r="D5">
        <v>1145.56</v>
      </c>
      <c r="E5">
        <v>962.64</v>
      </c>
      <c r="F5">
        <v>1203.29</v>
      </c>
      <c r="G5">
        <v>1512.7</v>
      </c>
      <c r="H5">
        <v>3678.63</v>
      </c>
      <c r="I5">
        <v>1272.53</v>
      </c>
    </row>
    <row r="6" spans="1:9" x14ac:dyDescent="0.35">
      <c r="A6">
        <v>33</v>
      </c>
      <c r="B6" s="2" t="s">
        <v>224</v>
      </c>
      <c r="C6">
        <v>0</v>
      </c>
      <c r="D6">
        <v>0.82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>
        <v>35</v>
      </c>
      <c r="B7" s="2" t="s">
        <v>228</v>
      </c>
      <c r="C7">
        <v>0</v>
      </c>
      <c r="D7">
        <v>0.08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>
        <v>63</v>
      </c>
      <c r="B8" s="2" t="s">
        <v>233</v>
      </c>
      <c r="C8">
        <v>7.83</v>
      </c>
      <c r="D8">
        <v>1710.81</v>
      </c>
      <c r="E8">
        <v>3365.2</v>
      </c>
      <c r="F8">
        <v>2913.94</v>
      </c>
      <c r="G8">
        <v>6598.31</v>
      </c>
      <c r="H8">
        <v>12877.45</v>
      </c>
      <c r="I8">
        <v>3292.63</v>
      </c>
    </row>
    <row r="9" spans="1:9" x14ac:dyDescent="0.35">
      <c r="A9">
        <v>62</v>
      </c>
      <c r="B9" s="2" t="s">
        <v>225</v>
      </c>
      <c r="C9">
        <v>37</v>
      </c>
      <c r="D9">
        <v>2803.04</v>
      </c>
      <c r="E9">
        <v>3145.04</v>
      </c>
      <c r="F9">
        <v>2919.29</v>
      </c>
      <c r="G9">
        <v>3300.58</v>
      </c>
      <c r="H9">
        <v>9364.91</v>
      </c>
      <c r="I9">
        <v>2959.9</v>
      </c>
    </row>
    <row r="10" spans="1:9" x14ac:dyDescent="0.35">
      <c r="A10">
        <v>64</v>
      </c>
      <c r="B10" s="2" t="s">
        <v>229</v>
      </c>
      <c r="C10">
        <v>890.55</v>
      </c>
      <c r="D10">
        <v>13901.22</v>
      </c>
      <c r="E10">
        <v>9727.17</v>
      </c>
      <c r="F10">
        <v>14876.76</v>
      </c>
      <c r="G10">
        <v>21325.71</v>
      </c>
      <c r="H10">
        <v>45929.64</v>
      </c>
      <c r="I10">
        <v>15688.57</v>
      </c>
    </row>
    <row r="11" spans="1:9" x14ac:dyDescent="0.35">
      <c r="A11">
        <v>65</v>
      </c>
      <c r="B11" s="2" t="s">
        <v>230</v>
      </c>
      <c r="C11">
        <v>25.79</v>
      </c>
      <c r="D11">
        <v>386.04</v>
      </c>
      <c r="E11">
        <v>892.49</v>
      </c>
      <c r="F11">
        <v>929.81</v>
      </c>
      <c r="G11">
        <v>1018.39</v>
      </c>
      <c r="H11">
        <v>2840.69</v>
      </c>
      <c r="I11">
        <v>1092.3900000000001</v>
      </c>
    </row>
    <row r="12" spans="1:9" x14ac:dyDescent="0.35">
      <c r="A12">
        <v>18</v>
      </c>
      <c r="B12" s="2" t="s">
        <v>58</v>
      </c>
      <c r="C12">
        <v>0</v>
      </c>
      <c r="D12">
        <v>106.95</v>
      </c>
      <c r="E12">
        <v>60.32</v>
      </c>
      <c r="F12">
        <v>24.28</v>
      </c>
      <c r="G12">
        <v>10.25</v>
      </c>
      <c r="H12">
        <v>94.85</v>
      </c>
      <c r="I12">
        <v>56</v>
      </c>
    </row>
    <row r="13" spans="1:9" x14ac:dyDescent="0.35">
      <c r="A13">
        <v>82</v>
      </c>
      <c r="B13" s="2" t="s">
        <v>231</v>
      </c>
      <c r="C13">
        <v>8.2200000000000006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>
        <v>91</v>
      </c>
      <c r="B14" s="2" t="s">
        <v>61</v>
      </c>
      <c r="C14">
        <v>5.12</v>
      </c>
      <c r="D14">
        <v>31.36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35">
      <c r="A15">
        <v>92</v>
      </c>
      <c r="B15" s="2" t="s">
        <v>239</v>
      </c>
      <c r="C15">
        <v>4.0999999999999996</v>
      </c>
      <c r="D15">
        <v>30.91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5">
      <c r="A16">
        <v>96</v>
      </c>
      <c r="B16" s="2" t="s">
        <v>238</v>
      </c>
      <c r="C16">
        <v>89.56</v>
      </c>
      <c r="D16">
        <v>1.91</v>
      </c>
      <c r="E16">
        <v>6</v>
      </c>
      <c r="F16">
        <v>5.7</v>
      </c>
      <c r="G16">
        <v>7.2</v>
      </c>
      <c r="H16">
        <v>18.899999999999999</v>
      </c>
      <c r="I16">
        <v>4.09</v>
      </c>
    </row>
    <row r="17" spans="1:9" x14ac:dyDescent="0.35">
      <c r="A17">
        <v>93</v>
      </c>
      <c r="B17" s="2" t="s">
        <v>234</v>
      </c>
      <c r="C17">
        <v>0.8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5">
      <c r="A18">
        <v>94</v>
      </c>
      <c r="B18" s="2" t="s">
        <v>226</v>
      </c>
      <c r="C18">
        <v>1.28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5">
      <c r="A19">
        <v>14</v>
      </c>
      <c r="B19" s="2" t="s">
        <v>55</v>
      </c>
      <c r="C19">
        <v>36.92</v>
      </c>
      <c r="D19">
        <v>505.63</v>
      </c>
      <c r="E19">
        <v>256.3</v>
      </c>
      <c r="F19">
        <v>280.85000000000002</v>
      </c>
      <c r="G19">
        <v>365.64</v>
      </c>
      <c r="H19">
        <v>902.8</v>
      </c>
      <c r="I19">
        <v>378.23</v>
      </c>
    </row>
    <row r="20" spans="1:9" x14ac:dyDescent="0.35">
      <c r="A20">
        <v>76</v>
      </c>
      <c r="B20" s="2" t="s">
        <v>240</v>
      </c>
      <c r="C20">
        <v>11.47</v>
      </c>
      <c r="D20">
        <v>26.26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35">
      <c r="A21">
        <v>73</v>
      </c>
      <c r="B21" s="2" t="s">
        <v>235</v>
      </c>
      <c r="C21">
        <v>13.79</v>
      </c>
      <c r="D21">
        <v>31.31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5">
      <c r="A22">
        <v>72</v>
      </c>
      <c r="B22" s="2" t="s">
        <v>227</v>
      </c>
      <c r="C22">
        <v>0.52</v>
      </c>
      <c r="D22">
        <v>1.98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35">
      <c r="A23">
        <v>74</v>
      </c>
      <c r="B23" s="2" t="s">
        <v>237</v>
      </c>
      <c r="C23">
        <v>0.64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35">
      <c r="A24">
        <v>13</v>
      </c>
      <c r="B24" s="2" t="s">
        <v>241</v>
      </c>
      <c r="C24">
        <v>2.63</v>
      </c>
      <c r="D24">
        <v>333.93</v>
      </c>
      <c r="E24">
        <v>21.92</v>
      </c>
      <c r="F24">
        <v>13.8</v>
      </c>
      <c r="G24">
        <v>33.31</v>
      </c>
      <c r="H24">
        <v>69.02</v>
      </c>
      <c r="I24">
        <v>26.04</v>
      </c>
    </row>
    <row r="25" spans="1:9" x14ac:dyDescent="0.35">
      <c r="A25">
        <v>16</v>
      </c>
      <c r="B25" s="2" t="s">
        <v>236</v>
      </c>
      <c r="C25">
        <v>4885.3900000000003</v>
      </c>
      <c r="D25">
        <v>10769.38</v>
      </c>
      <c r="E25">
        <v>5181.21</v>
      </c>
      <c r="F25">
        <v>7723.28</v>
      </c>
      <c r="G25">
        <v>7668.58</v>
      </c>
      <c r="H25">
        <v>20573.07</v>
      </c>
      <c r="I25">
        <v>7804.87</v>
      </c>
    </row>
    <row r="26" spans="1:9" x14ac:dyDescent="0.35">
      <c r="A26">
        <v>12</v>
      </c>
      <c r="B26" s="2" t="s">
        <v>232</v>
      </c>
      <c r="C26">
        <v>0</v>
      </c>
      <c r="D26">
        <v>14.62</v>
      </c>
      <c r="E26">
        <v>10.24</v>
      </c>
      <c r="F26">
        <v>8.48</v>
      </c>
      <c r="G26">
        <v>7.55</v>
      </c>
      <c r="H26">
        <v>26.26</v>
      </c>
      <c r="I26">
        <v>7.12</v>
      </c>
    </row>
    <row r="27" spans="1:9" x14ac:dyDescent="0.35">
      <c r="A27">
        <v>61</v>
      </c>
      <c r="B27" s="2" t="s">
        <v>60</v>
      </c>
      <c r="C27">
        <v>2.2599999999999998</v>
      </c>
      <c r="D27">
        <v>463.44</v>
      </c>
      <c r="E27">
        <v>19.28</v>
      </c>
      <c r="F27">
        <v>13.15</v>
      </c>
      <c r="G27">
        <v>38.549999999999997</v>
      </c>
      <c r="H27">
        <v>70.98</v>
      </c>
      <c r="I27">
        <v>11.22</v>
      </c>
    </row>
    <row r="30" spans="1:9" x14ac:dyDescent="0.35">
      <c r="C30" s="8"/>
    </row>
    <row r="31" spans="1:9" x14ac:dyDescent="0.35">
      <c r="C31" s="8"/>
    </row>
    <row r="32" spans="1:9" x14ac:dyDescent="0.35">
      <c r="C32" s="8"/>
    </row>
    <row r="33" spans="3:3" x14ac:dyDescent="0.35">
      <c r="C33" s="8"/>
    </row>
    <row r="34" spans="3:3" x14ac:dyDescent="0.35">
      <c r="C34" s="8"/>
    </row>
    <row r="35" spans="3:3" x14ac:dyDescent="0.35">
      <c r="C35" s="8"/>
    </row>
    <row r="36" spans="3:3" x14ac:dyDescent="0.35">
      <c r="C36" s="8"/>
    </row>
    <row r="37" spans="3:3" x14ac:dyDescent="0.35">
      <c r="C37" s="8"/>
    </row>
    <row r="38" spans="3:3" x14ac:dyDescent="0.35">
      <c r="C38" s="8"/>
    </row>
    <row r="39" spans="3:3" x14ac:dyDescent="0.35">
      <c r="C39" s="8"/>
    </row>
    <row r="40" spans="3:3" x14ac:dyDescent="0.35">
      <c r="C40" s="8"/>
    </row>
    <row r="41" spans="3:3" x14ac:dyDescent="0.35">
      <c r="C41" s="8"/>
    </row>
    <row r="42" spans="3:3" x14ac:dyDescent="0.35">
      <c r="C42" s="8"/>
    </row>
    <row r="43" spans="3:3" x14ac:dyDescent="0.35">
      <c r="C43" s="8"/>
    </row>
    <row r="44" spans="3:3" x14ac:dyDescent="0.35">
      <c r="C44" s="8"/>
    </row>
    <row r="45" spans="3:3" x14ac:dyDescent="0.35">
      <c r="C45" s="8"/>
    </row>
    <row r="46" spans="3:3" x14ac:dyDescent="0.35">
      <c r="C46" s="8"/>
    </row>
    <row r="47" spans="3:3" x14ac:dyDescent="0.35">
      <c r="C47" s="8"/>
    </row>
    <row r="48" spans="3:3" x14ac:dyDescent="0.35">
      <c r="C48" s="8"/>
    </row>
    <row r="49" spans="3:3" x14ac:dyDescent="0.35">
      <c r="C49" s="8"/>
    </row>
    <row r="50" spans="3:3" x14ac:dyDescent="0.35">
      <c r="C50" s="8"/>
    </row>
    <row r="51" spans="3:3" x14ac:dyDescent="0.35">
      <c r="C51" s="8"/>
    </row>
    <row r="52" spans="3:3" x14ac:dyDescent="0.35">
      <c r="C52" s="8"/>
    </row>
    <row r="53" spans="3:3" x14ac:dyDescent="0.35">
      <c r="C53" s="8"/>
    </row>
    <row r="54" spans="3:3" x14ac:dyDescent="0.35">
      <c r="C54" s="8"/>
    </row>
    <row r="55" spans="3:3" x14ac:dyDescent="0.35">
      <c r="C55" s="8"/>
    </row>
    <row r="56" spans="3:3" x14ac:dyDescent="0.35">
      <c r="C56" s="8"/>
    </row>
    <row r="57" spans="3:3" x14ac:dyDescent="0.35">
      <c r="C57" s="8"/>
    </row>
    <row r="58" spans="3:3" x14ac:dyDescent="0.35">
      <c r="C58" s="8"/>
    </row>
    <row r="59" spans="3:3" x14ac:dyDescent="0.35">
      <c r="C59" s="8"/>
    </row>
    <row r="60" spans="3:3" x14ac:dyDescent="0.35">
      <c r="C60" s="8"/>
    </row>
    <row r="61" spans="3:3" x14ac:dyDescent="0.35">
      <c r="C61" s="8"/>
    </row>
    <row r="62" spans="3:3" x14ac:dyDescent="0.35">
      <c r="C62" s="8"/>
    </row>
    <row r="63" spans="3:3" x14ac:dyDescent="0.35">
      <c r="C63" s="8"/>
    </row>
    <row r="64" spans="3:3" x14ac:dyDescent="0.35">
      <c r="C64" s="8"/>
    </row>
    <row r="65" spans="3:3" x14ac:dyDescent="0.35">
      <c r="C65" s="8"/>
    </row>
    <row r="66" spans="3:3" x14ac:dyDescent="0.35">
      <c r="C66" s="8"/>
    </row>
    <row r="67" spans="3:3" x14ac:dyDescent="0.35">
      <c r="C67" s="8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64656-0695-4FFF-8EE2-DF0C41BE0D42}">
  <dimension ref="A3:O44"/>
  <sheetViews>
    <sheetView topLeftCell="A24" zoomScale="78" zoomScaleNormal="58" workbookViewId="0">
      <selection activeCell="A42" sqref="A42"/>
    </sheetView>
  </sheetViews>
  <sheetFormatPr defaultRowHeight="14.5" x14ac:dyDescent="0.35"/>
  <cols>
    <col min="1" max="1" width="19.36328125" bestFit="1" customWidth="1"/>
    <col min="2" max="2" width="27.36328125" bestFit="1" customWidth="1"/>
    <col min="3" max="3" width="17.36328125" bestFit="1" customWidth="1"/>
    <col min="4" max="12" width="12" bestFit="1" customWidth="1"/>
    <col min="13" max="13" width="13.08984375" bestFit="1" customWidth="1"/>
    <col min="14" max="14" width="9.81640625" bestFit="1" customWidth="1"/>
    <col min="15" max="15" width="8.7265625" bestFit="1" customWidth="1"/>
    <col min="16" max="16" width="9.81640625" bestFit="1" customWidth="1"/>
    <col min="17" max="17" width="8.7265625" bestFit="1" customWidth="1"/>
    <col min="18" max="34" width="9.81640625" bestFit="1" customWidth="1"/>
    <col min="35" max="37" width="10.90625" bestFit="1" customWidth="1"/>
    <col min="38" max="38" width="9.81640625" bestFit="1" customWidth="1"/>
    <col min="39" max="39" width="10.90625" bestFit="1" customWidth="1"/>
    <col min="40" max="40" width="9.81640625" bestFit="1" customWidth="1"/>
    <col min="41" max="45" width="10.90625" bestFit="1" customWidth="1"/>
    <col min="46" max="46" width="12" bestFit="1" customWidth="1"/>
    <col min="47" max="47" width="9.81640625" bestFit="1" customWidth="1"/>
    <col min="48" max="48" width="8.7265625" bestFit="1" customWidth="1"/>
    <col min="49" max="56" width="9.81640625" bestFit="1" customWidth="1"/>
    <col min="57" max="57" width="10.90625" bestFit="1" customWidth="1"/>
    <col min="58" max="60" width="9.81640625" bestFit="1" customWidth="1"/>
    <col min="61" max="61" width="8.7265625" bestFit="1" customWidth="1"/>
    <col min="62" max="67" width="9.81640625" bestFit="1" customWidth="1"/>
    <col min="68" max="68" width="10.90625" bestFit="1" customWidth="1"/>
    <col min="69" max="72" width="9.81640625" bestFit="1" customWidth="1"/>
    <col min="73" max="73" width="8.7265625" bestFit="1" customWidth="1"/>
    <col min="74" max="85" width="9.81640625" bestFit="1" customWidth="1"/>
    <col min="86" max="86" width="8.7265625" bestFit="1" customWidth="1"/>
    <col min="87" max="89" width="9.81640625" bestFit="1" customWidth="1"/>
    <col min="90" max="90" width="10.90625" bestFit="1" customWidth="1"/>
    <col min="91" max="93" width="9.81640625" bestFit="1" customWidth="1"/>
    <col min="94" max="95" width="8.7265625" bestFit="1" customWidth="1"/>
    <col min="96" max="100" width="9.81640625" bestFit="1" customWidth="1"/>
    <col min="101" max="103" width="10.90625" bestFit="1" customWidth="1"/>
    <col min="104" max="104" width="9.81640625" bestFit="1" customWidth="1"/>
    <col min="105" max="111" width="10.90625" bestFit="1" customWidth="1"/>
    <col min="112" max="112" width="12" bestFit="1" customWidth="1"/>
    <col min="113" max="122" width="10.90625" bestFit="1" customWidth="1"/>
    <col min="123" max="123" width="12" bestFit="1" customWidth="1"/>
    <col min="124" max="129" width="9.81640625" bestFit="1" customWidth="1"/>
    <col min="130" max="130" width="8.7265625" bestFit="1" customWidth="1"/>
    <col min="131" max="133" width="9.81640625" bestFit="1" customWidth="1"/>
    <col min="134" max="134" width="10.90625" bestFit="1" customWidth="1"/>
    <col min="135" max="144" width="9.81640625" bestFit="1" customWidth="1"/>
    <col min="145" max="145" width="10.90625" bestFit="1" customWidth="1"/>
    <col min="146" max="150" width="9.81640625" bestFit="1" customWidth="1"/>
    <col min="151" max="151" width="6.54296875" bestFit="1" customWidth="1"/>
    <col min="152" max="154" width="9.81640625" bestFit="1" customWidth="1"/>
    <col min="155" max="155" width="8.7265625" bestFit="1" customWidth="1"/>
    <col min="156" max="156" width="10.90625" bestFit="1" customWidth="1"/>
    <col min="157" max="166" width="9.81640625" bestFit="1" customWidth="1"/>
    <col min="167" max="167" width="10.90625" bestFit="1" customWidth="1"/>
    <col min="168" max="171" width="9.81640625" bestFit="1" customWidth="1"/>
    <col min="172" max="172" width="8.7265625" bestFit="1" customWidth="1"/>
    <col min="173" max="174" width="9.81640625" bestFit="1" customWidth="1"/>
    <col min="175" max="175" width="8.7265625" bestFit="1" customWidth="1"/>
    <col min="176" max="177" width="9.81640625" bestFit="1" customWidth="1"/>
    <col min="178" max="178" width="10.90625" bestFit="1" customWidth="1"/>
    <col min="179" max="188" width="9.81640625" bestFit="1" customWidth="1"/>
    <col min="189" max="189" width="10.90625" bestFit="1" customWidth="1"/>
    <col min="190" max="199" width="9.81640625" bestFit="1" customWidth="1"/>
    <col min="200" max="200" width="10.90625" bestFit="1" customWidth="1"/>
    <col min="201" max="210" width="9.81640625" bestFit="1" customWidth="1"/>
    <col min="211" max="211" width="10.90625" bestFit="1" customWidth="1"/>
    <col min="212" max="219" width="9.81640625" bestFit="1" customWidth="1"/>
    <col min="220" max="220" width="8.7265625" bestFit="1" customWidth="1"/>
    <col min="221" max="221" width="9.81640625" bestFit="1" customWidth="1"/>
    <col min="222" max="222" width="10.90625" bestFit="1" customWidth="1"/>
    <col min="223" max="232" width="9.81640625" bestFit="1" customWidth="1"/>
    <col min="233" max="233" width="10.90625" bestFit="1" customWidth="1"/>
    <col min="234" max="244" width="9.81640625" bestFit="1" customWidth="1"/>
    <col min="245" max="247" width="10.90625" bestFit="1" customWidth="1"/>
    <col min="248" max="248" width="9.81640625" bestFit="1" customWidth="1"/>
    <col min="249" max="253" width="10.90625" bestFit="1" customWidth="1"/>
    <col min="254" max="254" width="9.81640625" bestFit="1" customWidth="1"/>
    <col min="255" max="255" width="12" bestFit="1" customWidth="1"/>
    <col min="256" max="256" width="9.81640625" bestFit="1" customWidth="1"/>
    <col min="257" max="266" width="10.90625" bestFit="1" customWidth="1"/>
    <col min="267" max="267" width="9.81640625" bestFit="1" customWidth="1"/>
    <col min="268" max="268" width="8.7265625" bestFit="1" customWidth="1"/>
    <col min="269" max="276" width="9.81640625" bestFit="1" customWidth="1"/>
    <col min="277" max="277" width="10.90625" bestFit="1" customWidth="1"/>
    <col min="278" max="283" width="9.81640625" bestFit="1" customWidth="1"/>
    <col min="284" max="288" width="10.90625" bestFit="1" customWidth="1"/>
    <col min="289" max="297" width="9.81640625" bestFit="1" customWidth="1"/>
    <col min="298" max="298" width="6.54296875" bestFit="1" customWidth="1"/>
    <col min="299" max="299" width="10.90625" bestFit="1" customWidth="1"/>
    <col min="300" max="306" width="9.81640625" bestFit="1" customWidth="1"/>
    <col min="307" max="307" width="8.7265625" bestFit="1" customWidth="1"/>
    <col min="308" max="309" width="9.81640625" bestFit="1" customWidth="1"/>
    <col min="310" max="310" width="10.90625" bestFit="1" customWidth="1"/>
    <col min="311" max="317" width="9.81640625" bestFit="1" customWidth="1"/>
    <col min="318" max="318" width="8.7265625" bestFit="1" customWidth="1"/>
    <col min="319" max="320" width="9.81640625" bestFit="1" customWidth="1"/>
    <col min="321" max="321" width="10.90625" bestFit="1" customWidth="1"/>
    <col min="322" max="342" width="9.81640625" bestFit="1" customWidth="1"/>
    <col min="343" max="343" width="10.90625" bestFit="1" customWidth="1"/>
    <col min="344" max="352" width="9.81640625" bestFit="1" customWidth="1"/>
    <col min="353" max="353" width="8.7265625" bestFit="1" customWidth="1"/>
    <col min="354" max="354" width="10.90625" bestFit="1" customWidth="1"/>
    <col min="355" max="358" width="9.81640625" bestFit="1" customWidth="1"/>
    <col min="359" max="359" width="8.7265625" bestFit="1" customWidth="1"/>
    <col min="360" max="361" width="9.81640625" bestFit="1" customWidth="1"/>
    <col min="362" max="365" width="10.90625" bestFit="1" customWidth="1"/>
    <col min="366" max="368" width="9.81640625" bestFit="1" customWidth="1"/>
    <col min="369" max="369" width="10.90625" bestFit="1" customWidth="1"/>
    <col min="370" max="378" width="9.81640625" bestFit="1" customWidth="1"/>
    <col min="380" max="380" width="10.90625" bestFit="1" customWidth="1"/>
    <col min="381" max="381" width="9.81640625" bestFit="1" customWidth="1"/>
    <col min="383" max="383" width="9.81640625" bestFit="1" customWidth="1"/>
    <col min="384" max="388" width="10.90625" bestFit="1" customWidth="1"/>
    <col min="389" max="392" width="9.81640625" bestFit="1" customWidth="1"/>
    <col min="393" max="393" width="13.08984375" bestFit="1" customWidth="1"/>
  </cols>
  <sheetData>
    <row r="3" spans="1:15" x14ac:dyDescent="0.35">
      <c r="B3" s="3" t="s">
        <v>222</v>
      </c>
      <c r="C3" s="3" t="s">
        <v>221</v>
      </c>
      <c r="M3" s="1"/>
    </row>
    <row r="4" spans="1:15" x14ac:dyDescent="0.35">
      <c r="A4" t="s">
        <v>45</v>
      </c>
      <c r="B4" s="3" t="s">
        <v>223</v>
      </c>
      <c r="C4">
        <v>2016</v>
      </c>
      <c r="D4">
        <v>2017</v>
      </c>
      <c r="E4">
        <v>2018</v>
      </c>
      <c r="F4">
        <v>2019</v>
      </c>
      <c r="G4">
        <v>2020</v>
      </c>
      <c r="H4">
        <v>2021</v>
      </c>
      <c r="I4">
        <v>2022</v>
      </c>
      <c r="J4">
        <v>2023</v>
      </c>
      <c r="K4">
        <v>2024</v>
      </c>
      <c r="L4">
        <v>2025</v>
      </c>
      <c r="M4" s="1" t="s">
        <v>220</v>
      </c>
    </row>
    <row r="5" spans="1:15" x14ac:dyDescent="0.35">
      <c r="A5">
        <f>IFERROR(INDEX(province_power_capacity_2025_ra!$A$2:$A$38,MATCH(B5, province_power_capacity_2025_raw[province],0)),"Data Tidak Ditemukan")</f>
        <v>11</v>
      </c>
      <c r="B5" s="4" t="s">
        <v>6</v>
      </c>
      <c r="C5" s="2">
        <v>26851.88</v>
      </c>
      <c r="D5" s="2">
        <v>28096.71</v>
      </c>
      <c r="E5" s="2">
        <v>29521.25</v>
      </c>
      <c r="F5" s="2">
        <v>30879.06</v>
      </c>
      <c r="G5" s="2">
        <v>31633.38</v>
      </c>
      <c r="H5" s="2">
        <v>34673.56</v>
      </c>
      <c r="I5" s="2">
        <v>38767.08</v>
      </c>
      <c r="J5" s="2">
        <v>41407.599999999999</v>
      </c>
      <c r="K5" s="2">
        <v>43782.22</v>
      </c>
      <c r="L5" s="2">
        <v>45770.400000000001</v>
      </c>
      <c r="M5" s="6">
        <v>351383.14</v>
      </c>
      <c r="O5" t="str">
        <f>PROPER(B5)</f>
        <v>Aceh</v>
      </c>
    </row>
    <row r="6" spans="1:15" x14ac:dyDescent="0.35">
      <c r="A6">
        <f>IFERROR(INDEX(province_power_capacity_2025_ra!$A$2:$A$38,MATCH(B6, province_power_capacity_2025_raw[province],0)),"Data Tidak Ditemukan")</f>
        <v>51</v>
      </c>
      <c r="B6" s="4" t="s">
        <v>23</v>
      </c>
      <c r="C6" s="2">
        <v>46211.040000000001</v>
      </c>
      <c r="D6" s="2">
        <v>50167.07</v>
      </c>
      <c r="E6" s="2">
        <v>54433.46</v>
      </c>
      <c r="F6" s="2">
        <v>57755.96</v>
      </c>
      <c r="G6" s="2">
        <v>52015.45</v>
      </c>
      <c r="H6" s="2">
        <v>50758.32</v>
      </c>
      <c r="I6" s="2">
        <v>56092.959999999999</v>
      </c>
      <c r="J6" s="2">
        <v>62299.21</v>
      </c>
      <c r="K6" s="2">
        <v>67318.28</v>
      </c>
      <c r="L6" s="2">
        <v>72658.490000000005</v>
      </c>
      <c r="M6" s="6">
        <v>569710.24</v>
      </c>
      <c r="O6" t="str">
        <f t="shared" ref="O6:O44" si="0">PROPER(B6)</f>
        <v>Bali</v>
      </c>
    </row>
    <row r="7" spans="1:15" x14ac:dyDescent="0.35">
      <c r="A7">
        <f>IFERROR(INDEX(province_power_capacity_2025_ra!$A$2:$A$38,MATCH(B7, province_power_capacity_2025_raw[province],0)),"Data Tidak Ditemukan")</f>
        <v>36</v>
      </c>
      <c r="B7" s="4" t="s">
        <v>22</v>
      </c>
      <c r="C7" s="2">
        <v>42439.73</v>
      </c>
      <c r="D7" s="2">
        <v>45275.58</v>
      </c>
      <c r="E7" s="2">
        <v>48370.15</v>
      </c>
      <c r="F7" s="2">
        <v>52013.99</v>
      </c>
      <c r="G7" s="2">
        <v>52729.4</v>
      </c>
      <c r="H7" s="2">
        <v>55383.29</v>
      </c>
      <c r="I7" s="2">
        <v>61413.54</v>
      </c>
      <c r="J7" s="2">
        <v>66147.199999999997</v>
      </c>
      <c r="K7" s="2">
        <v>70275.820000000007</v>
      </c>
      <c r="L7" s="2">
        <v>74672.679999999993</v>
      </c>
      <c r="M7" s="6">
        <v>568721.37999999989</v>
      </c>
      <c r="O7" t="str">
        <f t="shared" si="0"/>
        <v>Banten</v>
      </c>
    </row>
    <row r="8" spans="1:15" x14ac:dyDescent="0.35">
      <c r="A8">
        <f>IFERROR(INDEX(province_power_capacity_2025_ra!$A$2:$A$38,MATCH(B8, province_power_capacity_2025_raw[province],0)),"Data Tidak Ditemukan")</f>
        <v>17</v>
      </c>
      <c r="B8" s="4" t="s">
        <v>13</v>
      </c>
      <c r="C8" s="2">
        <v>29076.22</v>
      </c>
      <c r="D8" s="2">
        <v>31359.48</v>
      </c>
      <c r="E8" s="2">
        <v>33822.129999999997</v>
      </c>
      <c r="F8" s="2">
        <v>36565.29</v>
      </c>
      <c r="G8" s="2">
        <v>36552.5</v>
      </c>
      <c r="H8" s="2">
        <v>39167.129999999997</v>
      </c>
      <c r="I8" s="2">
        <v>43756.98</v>
      </c>
      <c r="J8" s="2">
        <v>46300.51</v>
      </c>
      <c r="K8" s="2">
        <v>49233.120000000003</v>
      </c>
      <c r="L8" s="2">
        <v>52304.54</v>
      </c>
      <c r="M8" s="6">
        <v>398137.89999999997</v>
      </c>
      <c r="O8" t="str">
        <f t="shared" si="0"/>
        <v>Bengkulu</v>
      </c>
    </row>
    <row r="9" spans="1:15" x14ac:dyDescent="0.35">
      <c r="A9">
        <f>IFERROR(INDEX(province_power_capacity_2025_ra!$A$2:$A$38,MATCH(B9, province_power_capacity_2025_raw[province],0)),"Data Tidak Ditemukan")</f>
        <v>34</v>
      </c>
      <c r="B9" s="4" t="s">
        <v>20</v>
      </c>
      <c r="C9" s="2">
        <v>29552.53</v>
      </c>
      <c r="D9" s="2">
        <v>31664.92</v>
      </c>
      <c r="E9" s="2">
        <v>34136.93</v>
      </c>
      <c r="F9" s="2">
        <v>36459.730000000003</v>
      </c>
      <c r="G9" s="2">
        <v>37693.64</v>
      </c>
      <c r="H9" s="2">
        <v>40516</v>
      </c>
      <c r="I9" s="2">
        <v>44638.79</v>
      </c>
      <c r="J9" s="2">
        <v>48373.32</v>
      </c>
      <c r="K9" s="2">
        <v>51486.05</v>
      </c>
      <c r="L9" s="2">
        <v>55039.3</v>
      </c>
      <c r="M9" s="6">
        <v>409561.20999999996</v>
      </c>
      <c r="O9" t="s">
        <v>246</v>
      </c>
    </row>
    <row r="10" spans="1:15" x14ac:dyDescent="0.35">
      <c r="A10">
        <f>IFERROR(INDEX(province_power_capacity_2025_ra!$A$2:$A$38,MATCH(B10, province_power_capacity_2025_raw[province],0)),"Data Tidak Ditemukan")</f>
        <v>31</v>
      </c>
      <c r="B10" s="4" t="s">
        <v>17</v>
      </c>
      <c r="C10" s="2">
        <v>210075.09</v>
      </c>
      <c r="D10" s="2">
        <v>228002.73</v>
      </c>
      <c r="E10" s="2">
        <v>247678.49</v>
      </c>
      <c r="F10" s="2">
        <v>268052.25</v>
      </c>
      <c r="G10" s="2">
        <v>262615.17</v>
      </c>
      <c r="H10" s="2">
        <v>274659.62</v>
      </c>
      <c r="I10" s="2">
        <v>299674.73</v>
      </c>
      <c r="J10" s="2">
        <v>322650.58</v>
      </c>
      <c r="K10" s="2">
        <v>344382.53</v>
      </c>
      <c r="L10" s="2">
        <v>367687.07</v>
      </c>
      <c r="M10" s="6">
        <v>2825478.2600000002</v>
      </c>
      <c r="O10" t="s">
        <v>251</v>
      </c>
    </row>
    <row r="11" spans="1:15" x14ac:dyDescent="0.35">
      <c r="A11">
        <f>IFERROR(INDEX(province_power_capacity_2025_ra!$A$2:$A$38,MATCH(B11, province_power_capacity_2025_raw[province],0)),"Data Tidak Ditemukan")</f>
        <v>75</v>
      </c>
      <c r="B11" s="4" t="s">
        <v>35</v>
      </c>
      <c r="C11" s="2">
        <v>27544.77</v>
      </c>
      <c r="D11" s="2">
        <v>29565.119999999999</v>
      </c>
      <c r="E11" s="2">
        <v>31827.62</v>
      </c>
      <c r="F11" s="2">
        <v>34976.65</v>
      </c>
      <c r="G11" s="2">
        <v>35693.26</v>
      </c>
      <c r="H11" s="2">
        <v>37086.76</v>
      </c>
      <c r="I11" s="2">
        <v>39690.94</v>
      </c>
      <c r="J11" s="2">
        <v>42340.5</v>
      </c>
      <c r="K11" s="2">
        <v>44437.14</v>
      </c>
      <c r="L11" s="2">
        <v>47476.82</v>
      </c>
      <c r="M11" s="6">
        <v>370639.58</v>
      </c>
      <c r="O11" t="str">
        <f t="shared" si="0"/>
        <v>Gorontalo</v>
      </c>
    </row>
    <row r="12" spans="1:15" x14ac:dyDescent="0.35">
      <c r="A12">
        <f>IFERROR(INDEX(province_power_capacity_2025_ra!$A$2:$A$38,MATCH(B12, province_power_capacity_2025_raw[province],0)),"Data Tidak Ditemukan")</f>
        <v>15</v>
      </c>
      <c r="B12" s="4" t="s">
        <v>11</v>
      </c>
      <c r="C12" s="2">
        <v>49494.98</v>
      </c>
      <c r="D12" s="2">
        <v>53993.4</v>
      </c>
      <c r="E12" s="2">
        <v>58224.89</v>
      </c>
      <c r="F12" s="2">
        <v>60828.86</v>
      </c>
      <c r="G12" s="2">
        <v>57957.73</v>
      </c>
      <c r="H12" s="2">
        <v>64770.93</v>
      </c>
      <c r="I12" s="2">
        <v>76224.160000000003</v>
      </c>
      <c r="J12" s="2">
        <v>79873.36</v>
      </c>
      <c r="K12" s="2">
        <v>86774.89</v>
      </c>
      <c r="L12" s="2">
        <v>92786.06</v>
      </c>
      <c r="M12" s="6">
        <v>680929.26</v>
      </c>
      <c r="O12" t="str">
        <f t="shared" si="0"/>
        <v>Jambi</v>
      </c>
    </row>
    <row r="13" spans="1:15" x14ac:dyDescent="0.35">
      <c r="A13">
        <f>IFERROR(INDEX(province_power_capacity_2025_ra!$A$2:$A$38,MATCH(B13, province_power_capacity_2025_raw[province],0)),"Data Tidak Ditemukan")</f>
        <v>32</v>
      </c>
      <c r="B13" s="4" t="s">
        <v>18</v>
      </c>
      <c r="C13" s="2">
        <v>34893.620000000003</v>
      </c>
      <c r="D13" s="2">
        <v>37223.11</v>
      </c>
      <c r="E13" s="2">
        <v>40272.639999999999</v>
      </c>
      <c r="F13" s="2">
        <v>43309.19</v>
      </c>
      <c r="G13" s="2">
        <v>43236.51</v>
      </c>
      <c r="H13" s="2">
        <v>45234.18</v>
      </c>
      <c r="I13" s="2">
        <v>49136.9</v>
      </c>
      <c r="J13" s="2">
        <v>52651.05</v>
      </c>
      <c r="K13" s="2">
        <v>56081.86</v>
      </c>
      <c r="L13" s="2">
        <v>59864.61</v>
      </c>
      <c r="M13" s="6">
        <v>461903.67</v>
      </c>
      <c r="O13" t="str">
        <f t="shared" si="0"/>
        <v>Jawa Barat</v>
      </c>
    </row>
    <row r="14" spans="1:15" x14ac:dyDescent="0.35">
      <c r="A14">
        <f>IFERROR(INDEX(province_power_capacity_2025_ra!$A$2:$A$38,MATCH(B14, province_power_capacity_2025_raw[province],0)),"Data Tidak Ditemukan")</f>
        <v>33</v>
      </c>
      <c r="B14" s="4" t="s">
        <v>19</v>
      </c>
      <c r="C14" s="2">
        <v>31961.95</v>
      </c>
      <c r="D14" s="2">
        <v>34234.31</v>
      </c>
      <c r="E14" s="2">
        <v>36770.959999999999</v>
      </c>
      <c r="F14" s="2">
        <v>39388.15</v>
      </c>
      <c r="G14" s="2">
        <v>36964.78</v>
      </c>
      <c r="H14" s="2">
        <v>38568.080000000002</v>
      </c>
      <c r="I14" s="2">
        <v>41934.46</v>
      </c>
      <c r="J14" s="2">
        <v>45162.080000000002</v>
      </c>
      <c r="K14" s="2">
        <v>47970.48</v>
      </c>
      <c r="L14" s="2">
        <v>50823.64</v>
      </c>
      <c r="M14" s="6">
        <v>403778.88999999996</v>
      </c>
      <c r="O14" t="str">
        <f t="shared" si="0"/>
        <v>Jawa Tengah</v>
      </c>
    </row>
    <row r="15" spans="1:15" x14ac:dyDescent="0.35">
      <c r="A15">
        <f>IFERROR(INDEX(province_power_capacity_2025_ra!$A$2:$A$38,MATCH(B15, province_power_capacity_2025_raw[province],0)),"Data Tidak Ditemukan")</f>
        <v>35</v>
      </c>
      <c r="B15" s="4" t="s">
        <v>21</v>
      </c>
      <c r="C15" s="2">
        <v>47491.519999999997</v>
      </c>
      <c r="D15" s="2">
        <v>51228.45</v>
      </c>
      <c r="E15" s="2">
        <v>55410.61</v>
      </c>
      <c r="F15" s="2">
        <v>59015.17</v>
      </c>
      <c r="G15" s="2">
        <v>56640.82</v>
      </c>
      <c r="H15" s="2">
        <v>59988.44</v>
      </c>
      <c r="I15" s="2">
        <v>66248.490000000005</v>
      </c>
      <c r="J15" s="2">
        <v>71121.929999999993</v>
      </c>
      <c r="K15" s="2">
        <v>75770.259999999995</v>
      </c>
      <c r="L15" s="2">
        <v>80855.92</v>
      </c>
      <c r="M15" s="6">
        <v>623771.61</v>
      </c>
      <c r="O15" t="str">
        <f t="shared" si="0"/>
        <v>Jawa Timur</v>
      </c>
    </row>
    <row r="16" spans="1:15" x14ac:dyDescent="0.35">
      <c r="A16">
        <f>IFERROR(INDEX(province_power_capacity_2025_ra!$A$2:$A$38,MATCH(B16, province_power_capacity_2025_raw[province],0)),"Data Tidak Ditemukan")</f>
        <v>61</v>
      </c>
      <c r="B16" s="4" t="s">
        <v>26</v>
      </c>
      <c r="C16" s="2">
        <v>33190.65</v>
      </c>
      <c r="D16" s="2">
        <v>35984.53</v>
      </c>
      <c r="E16" s="2">
        <v>38814.730000000003</v>
      </c>
      <c r="F16" s="2">
        <v>42045.41</v>
      </c>
      <c r="G16" s="2">
        <v>39622.239999999998</v>
      </c>
      <c r="H16" s="2">
        <v>42252.66</v>
      </c>
      <c r="I16" s="2">
        <v>46092.06</v>
      </c>
      <c r="J16" s="2">
        <v>48808.92</v>
      </c>
      <c r="K16" s="2">
        <v>52702.7</v>
      </c>
      <c r="L16" s="2">
        <v>56983.66</v>
      </c>
      <c r="M16" s="6">
        <v>436497.56000000006</v>
      </c>
      <c r="O16" t="str">
        <f t="shared" si="0"/>
        <v>Kalimantan Barat</v>
      </c>
    </row>
    <row r="17" spans="1:15" x14ac:dyDescent="0.35">
      <c r="A17">
        <f>IFERROR(INDEX(province_power_capacity_2025_ra!$A$2:$A$38,MATCH(B17, province_power_capacity_2025_raw[province],0)),"Data Tidak Ditemukan")</f>
        <v>63</v>
      </c>
      <c r="B17" s="4" t="s">
        <v>28</v>
      </c>
      <c r="C17" s="2">
        <v>36022.980000000003</v>
      </c>
      <c r="D17" s="2">
        <v>38619.54</v>
      </c>
      <c r="E17" s="2">
        <v>41046.28</v>
      </c>
      <c r="F17" s="2">
        <v>42823.56</v>
      </c>
      <c r="G17" s="2">
        <v>44100.79</v>
      </c>
      <c r="H17" s="2">
        <v>48065.95</v>
      </c>
      <c r="I17" s="2">
        <v>60213.03</v>
      </c>
      <c r="J17" s="2">
        <v>63754.33</v>
      </c>
      <c r="K17" s="2">
        <v>67122.210000000006</v>
      </c>
      <c r="L17" s="2">
        <v>70576.83</v>
      </c>
      <c r="M17" s="6">
        <v>512345.50000000006</v>
      </c>
      <c r="O17" t="str">
        <f t="shared" si="0"/>
        <v>Kalimantan Selatan</v>
      </c>
    </row>
    <row r="18" spans="1:15" x14ac:dyDescent="0.35">
      <c r="A18">
        <f>IFERROR(INDEX(province_power_capacity_2025_ra!$A$2:$A$38,MATCH(B18, province_power_capacity_2025_raw[province],0)),"Data Tidak Ditemukan")</f>
        <v>62</v>
      </c>
      <c r="B18" s="4" t="s">
        <v>27</v>
      </c>
      <c r="C18" s="2">
        <v>43905.33</v>
      </c>
      <c r="D18" s="2">
        <v>48293.22</v>
      </c>
      <c r="E18" s="2">
        <v>52107.23</v>
      </c>
      <c r="F18" s="2">
        <v>56625.38</v>
      </c>
      <c r="G18" s="2">
        <v>57145.08</v>
      </c>
      <c r="H18" s="2">
        <v>62833.77</v>
      </c>
      <c r="I18" s="2">
        <v>72973.14</v>
      </c>
      <c r="J18" s="2">
        <v>75271.23</v>
      </c>
      <c r="K18" s="2">
        <v>79319.73</v>
      </c>
      <c r="L18" s="2">
        <v>84729.84</v>
      </c>
      <c r="M18" s="6">
        <v>633203.94999999995</v>
      </c>
      <c r="O18" t="str">
        <f t="shared" si="0"/>
        <v>Kalimantan Tengah</v>
      </c>
    </row>
    <row r="19" spans="1:15" x14ac:dyDescent="0.35">
      <c r="A19">
        <f>IFERROR(INDEX(province_power_capacity_2025_ra!$A$2:$A$38,MATCH(B19, province_power_capacity_2025_raw[province],0)),"Data Tidak Ditemukan")</f>
        <v>64</v>
      </c>
      <c r="B19" s="4" t="s">
        <v>29</v>
      </c>
      <c r="C19" s="2">
        <v>145343.19</v>
      </c>
      <c r="D19" s="2">
        <v>165546.62</v>
      </c>
      <c r="E19" s="2">
        <v>174164.82</v>
      </c>
      <c r="F19" s="2">
        <v>180259.1</v>
      </c>
      <c r="G19" s="2">
        <v>161798.85</v>
      </c>
      <c r="H19" s="2">
        <v>183157.52</v>
      </c>
      <c r="I19" s="2">
        <v>238916.99</v>
      </c>
      <c r="J19" s="2">
        <v>215804.04</v>
      </c>
      <c r="K19" s="2">
        <v>212116.62</v>
      </c>
      <c r="L19" s="2">
        <v>208330.9</v>
      </c>
      <c r="M19" s="6">
        <v>1885438.65</v>
      </c>
      <c r="O19" t="str">
        <f t="shared" si="0"/>
        <v>Kalimantan Timur</v>
      </c>
    </row>
    <row r="20" spans="1:15" x14ac:dyDescent="0.35">
      <c r="A20">
        <f>IFERROR(INDEX(province_power_capacity_2025_ra!$A$2:$A$38,MATCH(B20, province_power_capacity_2025_raw[province],0)),"Data Tidak Ditemukan")</f>
        <v>65</v>
      </c>
      <c r="B20" s="4" t="s">
        <v>30</v>
      </c>
      <c r="C20" s="2">
        <v>99112.33</v>
      </c>
      <c r="D20" s="2">
        <v>111318.54</v>
      </c>
      <c r="E20" s="2">
        <v>119413.88</v>
      </c>
      <c r="F20" s="2">
        <v>138751.01</v>
      </c>
      <c r="G20" s="2">
        <v>143533.29</v>
      </c>
      <c r="H20" s="2">
        <v>157091.68</v>
      </c>
      <c r="I20" s="2">
        <v>192588.32</v>
      </c>
      <c r="J20" s="2">
        <v>201788.63</v>
      </c>
      <c r="K20" s="2">
        <v>198676.76</v>
      </c>
      <c r="L20" s="2">
        <v>208210.06</v>
      </c>
      <c r="M20" s="6">
        <v>1570484.5000000002</v>
      </c>
      <c r="O20" t="str">
        <f t="shared" si="0"/>
        <v>Kalimantan Utara</v>
      </c>
    </row>
    <row r="21" spans="1:15" x14ac:dyDescent="0.35">
      <c r="A21">
        <f>IFERROR(INDEX(province_power_capacity_2025_ra!$A$2:$A$38,MATCH(B21, province_power_capacity_2025_raw[province],0)),"Data Tidak Ditemukan")</f>
        <v>19</v>
      </c>
      <c r="B21" s="4" t="s">
        <v>15</v>
      </c>
      <c r="C21" s="2">
        <v>46402.47</v>
      </c>
      <c r="D21" s="2">
        <v>48827.25</v>
      </c>
      <c r="E21" s="2">
        <v>50081.95</v>
      </c>
      <c r="F21" s="2">
        <v>52232.800000000003</v>
      </c>
      <c r="G21" s="2">
        <v>52023.4</v>
      </c>
      <c r="H21" s="2">
        <v>58406.07</v>
      </c>
      <c r="I21" s="2">
        <v>63865.51</v>
      </c>
      <c r="J21" s="2">
        <v>67812.94</v>
      </c>
      <c r="K21" s="2">
        <v>70193.320000000007</v>
      </c>
      <c r="L21" s="2">
        <v>75322.53</v>
      </c>
      <c r="M21" s="6">
        <v>585168.24</v>
      </c>
      <c r="O21" t="str">
        <f t="shared" si="0"/>
        <v>Kepulauan Bangka Belitung</v>
      </c>
    </row>
    <row r="22" spans="1:15" x14ac:dyDescent="0.35">
      <c r="A22">
        <f>IFERROR(INDEX(province_power_capacity_2025_ra!$A$2:$A$38,MATCH(B22, province_power_capacity_2025_raw[province],0)),"Data Tidak Ditemukan")</f>
        <v>21</v>
      </c>
      <c r="B22" s="4" t="s">
        <v>16</v>
      </c>
      <c r="C22" s="2">
        <v>106503.78</v>
      </c>
      <c r="D22" s="2">
        <v>109332.85</v>
      </c>
      <c r="E22" s="2">
        <v>116461.4</v>
      </c>
      <c r="F22" s="2">
        <v>119394.66</v>
      </c>
      <c r="G22" s="2">
        <v>123464.79</v>
      </c>
      <c r="H22" s="2">
        <v>131883.84</v>
      </c>
      <c r="I22" s="2">
        <v>145530.48000000001</v>
      </c>
      <c r="J22" s="2">
        <v>154065.16</v>
      </c>
      <c r="K22" s="2">
        <v>161424.32000000001</v>
      </c>
      <c r="L22" s="2">
        <v>172458.76</v>
      </c>
      <c r="M22" s="6">
        <v>1340520.04</v>
      </c>
      <c r="O22" t="str">
        <f t="shared" si="0"/>
        <v>Kepulauan Riau</v>
      </c>
    </row>
    <row r="23" spans="1:15" x14ac:dyDescent="0.35">
      <c r="A23">
        <f>IFERROR(INDEX(province_power_capacity_2025_ra!$A$2:$A$38,MATCH(B23, province_power_capacity_2025_raw[province],0)),"Data Tidak Ditemukan")</f>
        <v>18</v>
      </c>
      <c r="B23" s="4" t="s">
        <v>14</v>
      </c>
      <c r="C23" s="2">
        <v>34053.97</v>
      </c>
      <c r="D23" s="2">
        <v>36998.32</v>
      </c>
      <c r="E23" s="2">
        <v>39716.46</v>
      </c>
      <c r="F23" s="2">
        <v>42172.32</v>
      </c>
      <c r="G23" s="2">
        <v>39290.33</v>
      </c>
      <c r="H23" s="2">
        <v>40806.71</v>
      </c>
      <c r="I23" s="2">
        <v>44982.400000000001</v>
      </c>
      <c r="J23" s="2">
        <v>48187.64</v>
      </c>
      <c r="K23" s="2">
        <v>51386.84</v>
      </c>
      <c r="L23" s="2">
        <v>55009.07</v>
      </c>
      <c r="M23" s="6">
        <v>432604.06</v>
      </c>
      <c r="O23" t="str">
        <f t="shared" si="0"/>
        <v>Lampung</v>
      </c>
    </row>
    <row r="24" spans="1:15" x14ac:dyDescent="0.35">
      <c r="A24">
        <f>IFERROR(INDEX(province_power_capacity_2025_ra!$A$2:$A$38,MATCH(B24, province_power_capacity_2025_raw[province],0)),"Data Tidak Ditemukan")</f>
        <v>81</v>
      </c>
      <c r="B24" s="4" t="s">
        <v>37</v>
      </c>
      <c r="C24" s="2">
        <v>21599.17</v>
      </c>
      <c r="D24" s="2">
        <v>22859.29</v>
      </c>
      <c r="E24" s="2">
        <v>24268.62</v>
      </c>
      <c r="F24" s="2">
        <v>26097.040000000001</v>
      </c>
      <c r="G24" s="2">
        <v>25094.36</v>
      </c>
      <c r="H24" s="2">
        <v>26153.05</v>
      </c>
      <c r="I24" s="2">
        <v>28536.54</v>
      </c>
      <c r="J24" s="2">
        <v>30455.06</v>
      </c>
      <c r="K24" s="2">
        <v>32198.79</v>
      </c>
      <c r="L24" s="2">
        <v>33651.870000000003</v>
      </c>
      <c r="M24" s="6">
        <v>270913.79000000004</v>
      </c>
      <c r="O24" t="str">
        <f t="shared" si="0"/>
        <v>Maluku</v>
      </c>
    </row>
    <row r="25" spans="1:15" x14ac:dyDescent="0.35">
      <c r="A25">
        <f>IFERROR(INDEX(province_power_capacity_2025_ra!$A$2:$A$38,MATCH(B25, province_power_capacity_2025_raw[province],0)),"Data Tidak Ditemukan")</f>
        <v>82</v>
      </c>
      <c r="B25" s="4" t="s">
        <v>38</v>
      </c>
      <c r="C25" s="2">
        <v>24580.75</v>
      </c>
      <c r="D25" s="2">
        <v>26686.06</v>
      </c>
      <c r="E25" s="2">
        <v>29586.12</v>
      </c>
      <c r="F25" s="2">
        <v>32124.959999999999</v>
      </c>
      <c r="G25" s="2">
        <v>33069.32</v>
      </c>
      <c r="H25" s="2">
        <v>40381.06</v>
      </c>
      <c r="I25" s="2">
        <v>53776.27</v>
      </c>
      <c r="J25" s="2">
        <v>64269.75</v>
      </c>
      <c r="K25" s="2">
        <v>71516.58</v>
      </c>
      <c r="L25" s="2">
        <v>97261.6</v>
      </c>
      <c r="M25" s="6">
        <v>473252.47</v>
      </c>
      <c r="O25" t="str">
        <f t="shared" si="0"/>
        <v>Maluku Utara</v>
      </c>
    </row>
    <row r="26" spans="1:15" x14ac:dyDescent="0.35">
      <c r="A26">
        <f>IFERROR(INDEX(province_power_capacity_2025_ra!$A$2:$A$38,MATCH(B26, province_power_capacity_2025_raw[province],0)),"Data Tidak Ditemukan")</f>
        <v>52</v>
      </c>
      <c r="B26" s="4" t="s">
        <v>24</v>
      </c>
      <c r="C26" s="2">
        <v>23786.95</v>
      </c>
      <c r="D26" s="2">
        <v>24986.54</v>
      </c>
      <c r="E26" s="2">
        <v>24705.97</v>
      </c>
      <c r="F26" s="2">
        <v>25716.11</v>
      </c>
      <c r="G26" s="2">
        <v>25183.56</v>
      </c>
      <c r="H26" s="2">
        <v>26009.17</v>
      </c>
      <c r="I26" s="2">
        <v>28670.720000000001</v>
      </c>
      <c r="J26" s="2">
        <v>29925.69</v>
      </c>
      <c r="K26" s="2">
        <v>32282.17</v>
      </c>
      <c r="L26" s="2">
        <v>33667.410000000003</v>
      </c>
      <c r="M26" s="6">
        <v>274934.29000000004</v>
      </c>
      <c r="O26" t="str">
        <f t="shared" si="0"/>
        <v>Nusa Tenggara Barat</v>
      </c>
    </row>
    <row r="27" spans="1:15" x14ac:dyDescent="0.35">
      <c r="A27">
        <f>IFERROR(INDEX(province_power_capacity_2025_ra!$A$2:$A$38,MATCH(B27, province_power_capacity_2025_raw[province],0)),"Data Tidak Ditemukan")</f>
        <v>53</v>
      </c>
      <c r="B27" s="4" t="s">
        <v>25</v>
      </c>
      <c r="C27" s="2">
        <v>16093.51</v>
      </c>
      <c r="D27" s="2">
        <v>17165.45</v>
      </c>
      <c r="E27" s="2">
        <v>18417.54</v>
      </c>
      <c r="F27" s="2">
        <v>19630.02</v>
      </c>
      <c r="G27" s="2">
        <v>20056.990000000002</v>
      </c>
      <c r="H27" s="2">
        <v>20554.990000000002</v>
      </c>
      <c r="I27" s="2">
        <v>21657.61</v>
      </c>
      <c r="J27" s="2">
        <v>23078.51</v>
      </c>
      <c r="K27" s="2">
        <v>24302.959999999999</v>
      </c>
      <c r="L27" s="2">
        <v>25837.48</v>
      </c>
      <c r="M27" s="6">
        <v>206795.06000000003</v>
      </c>
      <c r="O27" t="str">
        <f t="shared" si="0"/>
        <v>Nusa Tenggara Timur</v>
      </c>
    </row>
    <row r="28" spans="1:15" x14ac:dyDescent="0.35">
      <c r="A28">
        <f>IFERROR(INDEX(province_power_capacity_2025_ra!$A$2:$A$38,MATCH(B28, province_power_capacity_2025_raw[province],0)),"Data Tidak Ditemukan")</f>
        <v>91</v>
      </c>
      <c r="B28" s="4" t="s">
        <v>40</v>
      </c>
      <c r="C28" s="2">
        <v>54002.15</v>
      </c>
      <c r="D28" s="2">
        <v>57864.13</v>
      </c>
      <c r="E28" s="2">
        <v>63385.68</v>
      </c>
      <c r="F28" s="2">
        <v>56618.95</v>
      </c>
      <c r="G28" s="2">
        <v>46416.36</v>
      </c>
      <c r="H28" s="2">
        <v>54050.61</v>
      </c>
      <c r="I28" s="2">
        <v>59383.62</v>
      </c>
      <c r="J28" s="2">
        <v>78055.48</v>
      </c>
      <c r="K28" s="2">
        <v>81009.149999999994</v>
      </c>
      <c r="L28" s="2">
        <v>84305.2</v>
      </c>
      <c r="M28" s="6">
        <v>635091.32999999984</v>
      </c>
      <c r="O28" t="str">
        <f t="shared" si="0"/>
        <v>Papua</v>
      </c>
    </row>
    <row r="29" spans="1:15" x14ac:dyDescent="0.35">
      <c r="A29">
        <f>IFERROR(INDEX(province_power_capacity_2025_ra!$A$2:$A$38,MATCH(B29, province_power_capacity_2025_raw[province],0)),"Data Tidak Ditemukan")</f>
        <v>92</v>
      </c>
      <c r="B29" s="4" t="s">
        <v>39</v>
      </c>
      <c r="C29" s="2">
        <v>74584.63</v>
      </c>
      <c r="D29" s="2">
        <v>78423.63</v>
      </c>
      <c r="E29" s="2">
        <v>84958.03</v>
      </c>
      <c r="F29" s="2">
        <v>87542.37</v>
      </c>
      <c r="G29" s="2">
        <v>73932.600000000006</v>
      </c>
      <c r="H29" s="2">
        <v>74021.649999999994</v>
      </c>
      <c r="I29" s="2">
        <v>78132.75</v>
      </c>
      <c r="J29" s="2">
        <v>108110.28</v>
      </c>
      <c r="K29" s="2">
        <v>131636.45000000001</v>
      </c>
      <c r="L29" s="2">
        <v>139212.56</v>
      </c>
      <c r="M29" s="6">
        <v>930554.95000000019</v>
      </c>
      <c r="O29" t="str">
        <f t="shared" si="0"/>
        <v>Papua Barat</v>
      </c>
    </row>
    <row r="30" spans="1:15" x14ac:dyDescent="0.35">
      <c r="A30">
        <f>IFERROR(INDEX(province_power_capacity_2025_ra!$A$2:$A$38,MATCH(B30, province_power_capacity_2025_raw[province],0)),"Data Tidak Ditemukan")</f>
        <v>96</v>
      </c>
      <c r="B30" s="4" t="s">
        <v>41</v>
      </c>
      <c r="C30" s="2"/>
      <c r="D30" s="2"/>
      <c r="E30" s="2"/>
      <c r="F30" s="2"/>
      <c r="G30" s="2"/>
      <c r="H30" s="2"/>
      <c r="I30" s="2"/>
      <c r="J30" s="2">
        <v>58450.28</v>
      </c>
      <c r="K30" s="2">
        <v>59063.54</v>
      </c>
      <c r="L30" s="2">
        <v>61624.05</v>
      </c>
      <c r="M30" s="6">
        <v>179137.87</v>
      </c>
      <c r="O30" t="str">
        <f t="shared" si="0"/>
        <v>Papua Barat Daya</v>
      </c>
    </row>
    <row r="31" spans="1:15" x14ac:dyDescent="0.35">
      <c r="A31">
        <f>IFERROR(INDEX(province_power_capacity_2025_ra!$A$2:$A$38,MATCH(B31, province_power_capacity_2025_raw[province],0)),"Data Tidak Ditemukan")</f>
        <v>95</v>
      </c>
      <c r="B31" s="4" t="s">
        <v>44</v>
      </c>
      <c r="C31" s="2"/>
      <c r="D31" s="2"/>
      <c r="E31" s="2"/>
      <c r="F31" s="2"/>
      <c r="G31" s="2"/>
      <c r="H31" s="2"/>
      <c r="I31" s="2"/>
      <c r="J31" s="2">
        <v>16869.97</v>
      </c>
      <c r="K31" s="2">
        <v>18105.38</v>
      </c>
      <c r="L31" s="2">
        <v>19111.439999999999</v>
      </c>
      <c r="M31" s="6">
        <v>54086.790000000008</v>
      </c>
      <c r="O31" t="str">
        <f t="shared" si="0"/>
        <v>Papua Pegunungan</v>
      </c>
    </row>
    <row r="32" spans="1:15" x14ac:dyDescent="0.35">
      <c r="A32">
        <f>IFERROR(INDEX(province_power_capacity_2025_ra!$A$2:$A$38,MATCH(B32, province_power_capacity_2025_raw[province],0)),"Data Tidak Ditemukan")</f>
        <v>93</v>
      </c>
      <c r="B32" s="4" t="s">
        <v>42</v>
      </c>
      <c r="C32" s="2"/>
      <c r="D32" s="2"/>
      <c r="E32" s="2"/>
      <c r="F32" s="2"/>
      <c r="G32" s="2"/>
      <c r="H32" s="2"/>
      <c r="I32" s="2"/>
      <c r="J32" s="2">
        <v>58580.68</v>
      </c>
      <c r="K32" s="2">
        <v>61621.8</v>
      </c>
      <c r="L32" s="2">
        <v>64928.23</v>
      </c>
      <c r="M32" s="6">
        <v>185130.71000000002</v>
      </c>
      <c r="O32" t="str">
        <f t="shared" si="0"/>
        <v>Papua Selatan</v>
      </c>
    </row>
    <row r="33" spans="1:15" x14ac:dyDescent="0.35">
      <c r="A33">
        <f>IFERROR(INDEX(province_power_capacity_2025_ra!$A$2:$A$38,MATCH(B33, province_power_capacity_2025_raw[province],0)),"Data Tidak Ditemukan")</f>
        <v>94</v>
      </c>
      <c r="B33" s="4" t="s">
        <v>43</v>
      </c>
      <c r="C33" s="2"/>
      <c r="D33" s="2"/>
      <c r="E33" s="2"/>
      <c r="F33" s="2"/>
      <c r="G33" s="2"/>
      <c r="H33" s="2"/>
      <c r="I33" s="2"/>
      <c r="J33" s="2">
        <v>103508.09</v>
      </c>
      <c r="K33" s="2">
        <v>118773.53</v>
      </c>
      <c r="L33" s="2">
        <v>107565.94</v>
      </c>
      <c r="M33" s="6">
        <v>329847.56</v>
      </c>
      <c r="O33" t="str">
        <f t="shared" si="0"/>
        <v>Papua Tengah</v>
      </c>
    </row>
    <row r="34" spans="1:15" x14ac:dyDescent="0.35">
      <c r="A34">
        <f>IFERROR(INDEX(province_power_capacity_2025_ra!$A$2:$A$38,MATCH(B34, province_power_capacity_2025_raw[province],0)),"Data Tidak Ditemukan")</f>
        <v>14</v>
      </c>
      <c r="B34" s="4" t="s">
        <v>10</v>
      </c>
      <c r="C34" s="2">
        <v>104861.11</v>
      </c>
      <c r="D34" s="2">
        <v>105844.77</v>
      </c>
      <c r="E34" s="2">
        <v>110384.9</v>
      </c>
      <c r="F34" s="2">
        <v>111227.01</v>
      </c>
      <c r="G34" s="2">
        <v>114166.9</v>
      </c>
      <c r="H34" s="2">
        <v>129740.71</v>
      </c>
      <c r="I34" s="2">
        <v>151258.97</v>
      </c>
      <c r="J34" s="2">
        <v>154522.28</v>
      </c>
      <c r="K34" s="2">
        <v>165349.71</v>
      </c>
      <c r="L34" s="2">
        <v>176384.66</v>
      </c>
      <c r="M34" s="6">
        <v>1323741.02</v>
      </c>
      <c r="O34" t="str">
        <f t="shared" si="0"/>
        <v>Riau</v>
      </c>
    </row>
    <row r="35" spans="1:15" x14ac:dyDescent="0.35">
      <c r="A35">
        <f>IFERROR(INDEX(province_power_capacity_2025_ra!$A$2:$A$38,MATCH(B35, province_power_capacity_2025_raw[province],0)),"Data Tidak Ditemukan")</f>
        <v>76</v>
      </c>
      <c r="B35" s="4" t="s">
        <v>36</v>
      </c>
      <c r="C35" s="2">
        <v>27513.06</v>
      </c>
      <c r="D35" s="2">
        <v>29675.86</v>
      </c>
      <c r="E35" s="2">
        <v>32059.09</v>
      </c>
      <c r="F35" s="2">
        <v>34111.83</v>
      </c>
      <c r="G35" s="2">
        <v>32836.75</v>
      </c>
      <c r="H35" s="2">
        <v>35195.14</v>
      </c>
      <c r="I35" s="2">
        <v>37033.82</v>
      </c>
      <c r="J35" s="2">
        <v>39546.78</v>
      </c>
      <c r="K35" s="2">
        <v>42717.73</v>
      </c>
      <c r="L35" s="2">
        <v>46653.64</v>
      </c>
      <c r="M35" s="6">
        <v>357343.69999999995</v>
      </c>
      <c r="O35" t="str">
        <f t="shared" si="0"/>
        <v>Sulawesi Barat</v>
      </c>
    </row>
    <row r="36" spans="1:15" x14ac:dyDescent="0.35">
      <c r="A36">
        <f>IFERROR(INDEX(province_power_capacity_2025_ra!$A$2:$A$38,MATCH(B36, province_power_capacity_2025_raw[province],0)),"Data Tidak Ditemukan")</f>
        <v>73</v>
      </c>
      <c r="B36" s="4" t="s">
        <v>33</v>
      </c>
      <c r="C36" s="2">
        <v>43817.39</v>
      </c>
      <c r="D36" s="2">
        <v>47822.11</v>
      </c>
      <c r="E36" s="2">
        <v>52642.080000000002</v>
      </c>
      <c r="F36" s="2">
        <v>57182.14</v>
      </c>
      <c r="G36" s="2">
        <v>55675.03</v>
      </c>
      <c r="H36" s="2">
        <v>59502.64</v>
      </c>
      <c r="I36" s="2">
        <v>65353.29</v>
      </c>
      <c r="J36" s="2">
        <v>69710.31</v>
      </c>
      <c r="K36" s="2">
        <v>73573.33</v>
      </c>
      <c r="L36" s="2">
        <v>78748</v>
      </c>
      <c r="M36" s="6">
        <v>604026.31999999995</v>
      </c>
      <c r="O36" t="str">
        <f t="shared" si="0"/>
        <v>Sulawesi Selatan</v>
      </c>
    </row>
    <row r="37" spans="1:15" x14ac:dyDescent="0.35">
      <c r="A37">
        <f>IFERROR(INDEX(province_power_capacity_2025_ra!$A$2:$A$38,MATCH(B37, province_power_capacity_2025_raw[province],0)),"Data Tidak Ditemukan")</f>
        <v>72</v>
      </c>
      <c r="B37" s="4" t="s">
        <v>32</v>
      </c>
      <c r="C37" s="2">
        <v>41082.04</v>
      </c>
      <c r="D37" s="2">
        <v>45157.279999999999</v>
      </c>
      <c r="E37" s="2">
        <v>55518.66</v>
      </c>
      <c r="F37" s="2">
        <v>61056.03</v>
      </c>
      <c r="G37" s="2">
        <v>66306.27</v>
      </c>
      <c r="H37" s="2">
        <v>82016.81</v>
      </c>
      <c r="I37" s="2">
        <v>106068.47</v>
      </c>
      <c r="J37" s="2">
        <v>112461.01</v>
      </c>
      <c r="K37" s="2">
        <v>120749.57</v>
      </c>
      <c r="L37" s="2">
        <v>131642.51999999999</v>
      </c>
      <c r="M37" s="6">
        <v>822058.66000000015</v>
      </c>
      <c r="O37" t="str">
        <f t="shared" si="0"/>
        <v>Sulawesi Tengah</v>
      </c>
    </row>
    <row r="38" spans="1:15" x14ac:dyDescent="0.35">
      <c r="A38">
        <f>IFERROR(INDEX(province_power_capacity_2025_ra!$A$2:$A$38,MATCH(B38, province_power_capacity_2025_raw[province],0)),"Data Tidak Ditemukan")</f>
        <v>74</v>
      </c>
      <c r="B38" s="4" t="s">
        <v>34</v>
      </c>
      <c r="C38" s="2">
        <v>38022.129999999997</v>
      </c>
      <c r="D38" s="2">
        <v>41278.78</v>
      </c>
      <c r="E38" s="2">
        <v>44492.09</v>
      </c>
      <c r="F38" s="2">
        <v>48514.15</v>
      </c>
      <c r="G38" s="2">
        <v>49718.15</v>
      </c>
      <c r="H38" s="2">
        <v>52436.02</v>
      </c>
      <c r="I38" s="2">
        <v>58714.73</v>
      </c>
      <c r="J38" s="2">
        <v>64088.4</v>
      </c>
      <c r="K38" s="2">
        <v>67839.91</v>
      </c>
      <c r="L38" s="2">
        <v>72031.179999999993</v>
      </c>
      <c r="M38" s="6">
        <v>537135.54</v>
      </c>
      <c r="O38" t="str">
        <f t="shared" si="0"/>
        <v>Sulawesi Tenggara</v>
      </c>
    </row>
    <row r="39" spans="1:15" x14ac:dyDescent="0.35">
      <c r="A39">
        <f>IFERROR(INDEX(province_power_capacity_2025_ra!$A$2:$A$38,MATCH(B39, province_power_capacity_2025_raw[province],0)),"Data Tidak Ditemukan")</f>
        <v>71</v>
      </c>
      <c r="B39" s="4" t="s">
        <v>31</v>
      </c>
      <c r="C39" s="2">
        <v>41246.25</v>
      </c>
      <c r="D39" s="2">
        <v>44744.2</v>
      </c>
      <c r="E39" s="2">
        <v>48105.41</v>
      </c>
      <c r="F39" s="2">
        <v>52173.02</v>
      </c>
      <c r="G39" s="2">
        <v>50521.13</v>
      </c>
      <c r="H39" s="2">
        <v>54034.12</v>
      </c>
      <c r="I39" s="2">
        <v>59020.57</v>
      </c>
      <c r="J39" s="2">
        <v>64130.96</v>
      </c>
      <c r="K39" s="2">
        <v>69352.240000000005</v>
      </c>
      <c r="L39" s="2">
        <v>75234.91</v>
      </c>
      <c r="M39" s="6">
        <v>558562.81000000006</v>
      </c>
      <c r="O39" t="str">
        <f t="shared" si="0"/>
        <v>Sulawesi Utara</v>
      </c>
    </row>
    <row r="40" spans="1:15" x14ac:dyDescent="0.35">
      <c r="A40">
        <f>IFERROR(INDEX(province_power_capacity_2025_ra!$A$2:$A$38,MATCH(B40, province_power_capacity_2025_raw[province],0)),"Data Tidak Ditemukan")</f>
        <v>13</v>
      </c>
      <c r="B40" s="4" t="s">
        <v>9</v>
      </c>
      <c r="C40" s="2">
        <v>37284.559999999998</v>
      </c>
      <c r="D40" s="2">
        <v>40194.29</v>
      </c>
      <c r="E40" s="2">
        <v>42802.66</v>
      </c>
      <c r="F40" s="2">
        <v>44885.51</v>
      </c>
      <c r="G40" s="2">
        <v>43825.66</v>
      </c>
      <c r="H40" s="2">
        <v>45218.16</v>
      </c>
      <c r="I40" s="2">
        <v>50263.83</v>
      </c>
      <c r="J40" s="2">
        <v>54333.83</v>
      </c>
      <c r="K40" s="2">
        <v>57083.09</v>
      </c>
      <c r="L40" s="2">
        <v>59548.83</v>
      </c>
      <c r="M40" s="6">
        <v>475440.4200000001</v>
      </c>
      <c r="O40" t="str">
        <f t="shared" si="0"/>
        <v>Sumatera Barat</v>
      </c>
    </row>
    <row r="41" spans="1:15" x14ac:dyDescent="0.35">
      <c r="A41">
        <f>IFERROR(INDEX(province_power_capacity_2025_ra!$A$2:$A$38,MATCH(B41, province_power_capacity_2025_raw[province],0)),"Data Tidak Ditemukan")</f>
        <v>16</v>
      </c>
      <c r="B41" s="4" t="s">
        <v>12</v>
      </c>
      <c r="C41" s="2">
        <v>43361.26</v>
      </c>
      <c r="D41" s="2">
        <v>46315.05</v>
      </c>
      <c r="E41" s="2">
        <v>50104.67</v>
      </c>
      <c r="F41" s="2">
        <v>53359.1</v>
      </c>
      <c r="G41" s="2">
        <v>53842.74</v>
      </c>
      <c r="H41" s="2">
        <v>57744.67</v>
      </c>
      <c r="I41" s="2">
        <v>68238.87</v>
      </c>
      <c r="J41" s="2">
        <v>71958.27</v>
      </c>
      <c r="K41" s="2">
        <v>75131.73</v>
      </c>
      <c r="L41" s="2">
        <v>80663.490000000005</v>
      </c>
      <c r="M41" s="6">
        <v>600719.85</v>
      </c>
      <c r="O41" t="str">
        <f t="shared" si="0"/>
        <v>Sumatera Selatan</v>
      </c>
    </row>
    <row r="42" spans="1:15" x14ac:dyDescent="0.35">
      <c r="A42" t="str">
        <f>IFERROR(INDEX(province_power_capacity_2025_ra!$A$2:$A$38,MATCH(B42, province_power_capacity_2025_raw[province],0)),"Data Tidak Ditemukan")</f>
        <v>Data Tidak Ditemukan</v>
      </c>
      <c r="B42" s="4" t="s">
        <v>8</v>
      </c>
      <c r="C42" s="2">
        <v>44392.46</v>
      </c>
      <c r="D42" s="2">
        <v>48003.6</v>
      </c>
      <c r="E42" s="2">
        <v>51427.49</v>
      </c>
      <c r="F42" s="2">
        <v>54620.4</v>
      </c>
      <c r="G42" s="2">
        <v>54979.040000000001</v>
      </c>
      <c r="H42" s="2">
        <v>57441.93</v>
      </c>
      <c r="I42" s="2">
        <v>62922.26</v>
      </c>
      <c r="J42" s="2">
        <v>68305.710000000006</v>
      </c>
      <c r="K42" s="2">
        <v>73574.62</v>
      </c>
      <c r="L42" s="2">
        <v>78310.289999999994</v>
      </c>
      <c r="M42" s="6">
        <v>593977.80000000005</v>
      </c>
      <c r="O42" t="str">
        <f t="shared" si="0"/>
        <v>Sumatera Utara</v>
      </c>
    </row>
    <row r="43" spans="1:15" x14ac:dyDescent="0.35">
      <c r="B43" s="4" t="s">
        <v>220</v>
      </c>
      <c r="C43" s="2">
        <v>1756355.4499999995</v>
      </c>
      <c r="D43" s="2">
        <v>1892752.7900000005</v>
      </c>
      <c r="E43" s="2">
        <v>2035134.8899999997</v>
      </c>
      <c r="F43" s="2">
        <v>2158407.1800000002</v>
      </c>
      <c r="G43" s="2">
        <v>2110336.27</v>
      </c>
      <c r="H43" s="2">
        <v>2279805.2400000002</v>
      </c>
      <c r="I43" s="2">
        <v>2611773.2800000003</v>
      </c>
      <c r="J43" s="2">
        <v>3024181.5699999994</v>
      </c>
      <c r="K43" s="2">
        <v>3206337.43</v>
      </c>
      <c r="L43" s="2">
        <v>3397944.4800000014</v>
      </c>
      <c r="M43" s="6">
        <v>24473028.580000002</v>
      </c>
    </row>
    <row r="44" spans="1:15" x14ac:dyDescent="0.35">
      <c r="O44" t="str">
        <f t="shared" si="0"/>
        <v/>
      </c>
    </row>
  </sheetData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BC851-DBE7-4683-BC0D-3D3804BB21F6}">
  <dimension ref="A1:S39"/>
  <sheetViews>
    <sheetView zoomScale="81" workbookViewId="0">
      <selection activeCell="B1" sqref="B1:C1048576"/>
    </sheetView>
  </sheetViews>
  <sheetFormatPr defaultRowHeight="14.5" x14ac:dyDescent="0.35"/>
  <cols>
    <col min="1" max="1" width="14.90625" customWidth="1"/>
    <col min="2" max="3" width="23.54296875" bestFit="1" customWidth="1"/>
    <col min="4" max="4" width="16.36328125" bestFit="1" customWidth="1"/>
    <col min="5" max="5" width="21.1796875" bestFit="1" customWidth="1"/>
    <col min="6" max="6" width="22.26953125" bestFit="1" customWidth="1"/>
    <col min="7" max="7" width="21.1796875" bestFit="1" customWidth="1"/>
    <col min="8" max="8" width="15.26953125" bestFit="1" customWidth="1"/>
    <col min="9" max="9" width="15.36328125" bestFit="1" customWidth="1"/>
    <col min="10" max="10" width="16.81640625" bestFit="1" customWidth="1"/>
    <col min="11" max="11" width="18.26953125" bestFit="1" customWidth="1"/>
    <col min="12" max="12" width="17.26953125" bestFit="1" customWidth="1"/>
    <col min="13" max="13" width="16.26953125" bestFit="1" customWidth="1"/>
    <col min="14" max="14" width="16.1796875" bestFit="1" customWidth="1"/>
    <col min="15" max="15" width="16.453125" bestFit="1" customWidth="1"/>
    <col min="16" max="16" width="14" bestFit="1" customWidth="1"/>
    <col min="17" max="17" width="25.6328125" bestFit="1" customWidth="1"/>
    <col min="18" max="18" width="25.36328125" bestFit="1" customWidth="1"/>
    <col min="19" max="19" width="21" bestFit="1" customWidth="1"/>
  </cols>
  <sheetData>
    <row r="1" spans="1:19" x14ac:dyDescent="0.35">
      <c r="A1" t="s">
        <v>45</v>
      </c>
      <c r="B1" t="s">
        <v>46</v>
      </c>
      <c r="C1" t="s">
        <v>252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  <c r="S1" t="s">
        <v>218</v>
      </c>
    </row>
    <row r="2" spans="1:19" x14ac:dyDescent="0.35">
      <c r="A2">
        <f>IFERROR(INDEX(province_power_capacity_2025_ra!$A$2:$A$38,MATCH(B2, province_power_capacity_2025_raw[province],0)),"Data Tidak Ditemukan")</f>
        <v>11</v>
      </c>
      <c r="B2" t="str">
        <f>province_power_capacity_2025_ra!B2</f>
        <v>Aceh</v>
      </c>
      <c r="C2">
        <f>_xlfn.XLOOKUP(B2, 'pivot and cleaned data'!$B$5:$B$43, 'pivot and cleaned data'!$L$5:$L$43, "Tidak Ditemukan")</f>
        <v>45770.400000000001</v>
      </c>
      <c r="D2">
        <f>_xlfn.XLOOKUP(B2, province_power_capacity_2025_raw[province], province_power_capacity_2025_raw[hydro_pp_mw], "Tidak Ada")</f>
        <v>10</v>
      </c>
      <c r="E2">
        <f>_xlfn.XLOOKUP(B2, province_power_capacity_2025_raw[province], province_power_capacity_2025_raw[mini_hydro_pp_mw], "Tidak Ada")</f>
        <v>23.4</v>
      </c>
      <c r="F2">
        <f>_xlfn.XLOOKUP(B2, province_power_capacity_2025_raw[province], province_power_capacity_2025_raw[micro_hydro_pp_mw], "Tidak Ada")</f>
        <v>4.45</v>
      </c>
      <c r="G2">
        <f>_xlfn.XLOOKUP(B2, province_power_capacity_2025_raw[province], province_power_capacity_2025_raw[geothermal_pp_mw], "Tidak Ada")</f>
        <v>0</v>
      </c>
      <c r="H2">
        <f>_xlfn.XLOOKUP(B2, province_power_capacity_2025_raw[province], province_power_capacity_2025_raw[solar_pp_mw], "Tidak Ada")</f>
        <v>1.46</v>
      </c>
      <c r="I2">
        <f>_xlfn.XLOOKUP(B2, province_power_capacity_2025_raw[province], province_power_capacity_2025_raw[wind_pp_mw], "Tidak Ada")</f>
        <v>0</v>
      </c>
      <c r="J2">
        <f>_xlfn.XLOOKUP(B2, province_power_capacity_2025_raw[province], province_power_capacity_2025_raw[biogas_pp_mw], "Tidak Ada")</f>
        <v>0</v>
      </c>
      <c r="K2">
        <f>_xlfn.XLOOKUP(B2, province_power_capacity_2025_raw[province], province_power_capacity_2025_raw[biomass_pp_mw], "Tidak Ada")</f>
        <v>25.1</v>
      </c>
      <c r="L2">
        <f>_xlfn.XLOOKUP(B2, province_power_capacity_2025_raw[province], province_power_capacity_2025_raw[biofuel_pp_mw], "Tidak Ada")</f>
        <v>0</v>
      </c>
      <c r="M2">
        <f>_xlfn.XLOOKUP(B2, province_power_capacity_2025_raw[province], province_power_capacity_2025_raw[waste_pp_mw], "Tidak Ada")</f>
        <v>0</v>
      </c>
      <c r="N2">
        <f>_xlfn.XLOOKUP(B2, province_power_capacity_2025_raw[province], province_power_capacity_2025_raw[diesel_pp_mw], "Tidak Ada")</f>
        <v>218.94</v>
      </c>
      <c r="O2">
        <f>_xlfn.XLOOKUP(B2, province_power_capacity_2025_raw[province], province_power_capacity_2025_raw[steam_pp_mw], "Tidak Ada")</f>
        <v>648</v>
      </c>
      <c r="P2">
        <f>_xlfn.XLOOKUP(B2, province_power_capacity_2025_raw[province], province_power_capacity_2025_raw[gas_pp_mw], "Tidak Ada")</f>
        <v>0</v>
      </c>
      <c r="Q2">
        <f>_xlfn.XLOOKUP(B2, province_power_capacity_2025_raw[province], province_power_capacity_2025_raw[coal_gasification_pp_mw], "Tidak Ada")</f>
        <v>0</v>
      </c>
      <c r="R2">
        <f>_xlfn.XLOOKUP(B2, province_power_capacity_2025_raw[province], province_power_capacity_2025_raw[combined_cycle_pp_mw], "Tidak Ada")</f>
        <v>24</v>
      </c>
      <c r="S2">
        <f>_xlfn.XLOOKUP(B2, province_power_capacity_2025_raw[province], province_power_capacity_2025_raw[gas_engine_pp_mw], "Tidak Ada")</f>
        <v>430.67</v>
      </c>
    </row>
    <row r="3" spans="1:19" x14ac:dyDescent="0.35">
      <c r="A3">
        <f>IFERROR(INDEX(province_power_capacity_2025_ra!$A$2:$A$38,MATCH(B3, province_power_capacity_2025_raw[province],0)),"Data Tidak Ditemukan")</f>
        <v>51</v>
      </c>
      <c r="B3" t="str">
        <f>province_power_capacity_2025_ra!B3</f>
        <v>Bali</v>
      </c>
      <c r="C3">
        <f>_xlfn.XLOOKUP(B3, 'pivot and cleaned data'!$B$5:$B$43, 'pivot and cleaned data'!$L$5:$L$43, "Tidak Ditemukan")</f>
        <v>72658.490000000005</v>
      </c>
      <c r="D3">
        <f>_xlfn.XLOOKUP(B3, province_power_capacity_2025_raw[province], province_power_capacity_2025_raw[hydro_pp_mw], "Tidak Ada")</f>
        <v>0</v>
      </c>
      <c r="E3">
        <f>_xlfn.XLOOKUP(B3, province_power_capacity_2025_raw[province], province_power_capacity_2025_raw[mini_hydro_pp_mw], "Tidak Ada")</f>
        <v>2.5</v>
      </c>
      <c r="F3">
        <f>_xlfn.XLOOKUP(B3, province_power_capacity_2025_raw[province], province_power_capacity_2025_raw[micro_hydro_pp_mw], "Tidak Ada")</f>
        <v>0.03</v>
      </c>
      <c r="G3">
        <f>_xlfn.XLOOKUP(B3, province_power_capacity_2025_raw[province], province_power_capacity_2025_raw[geothermal_pp_mw], "Tidak Ada")</f>
        <v>0</v>
      </c>
      <c r="H3">
        <f>_xlfn.XLOOKUP(B3, province_power_capacity_2025_raw[province], province_power_capacity_2025_raw[solar_pp_mw], "Tidak Ada")</f>
        <v>41.6</v>
      </c>
      <c r="I3">
        <f>_xlfn.XLOOKUP(B3, province_power_capacity_2025_raw[province], province_power_capacity_2025_raw[wind_pp_mw], "Tidak Ada")</f>
        <v>1.08</v>
      </c>
      <c r="J3">
        <f>_xlfn.XLOOKUP(B3, province_power_capacity_2025_raw[province], province_power_capacity_2025_raw[biogas_pp_mw], "Tidak Ada")</f>
        <v>0</v>
      </c>
      <c r="K3">
        <f>_xlfn.XLOOKUP(B3, province_power_capacity_2025_raw[province], province_power_capacity_2025_raw[biomass_pp_mw], "Tidak Ada")</f>
        <v>0</v>
      </c>
      <c r="L3">
        <f>_xlfn.XLOOKUP(B3, province_power_capacity_2025_raw[province], province_power_capacity_2025_raw[biofuel_pp_mw], "Tidak Ada")</f>
        <v>0</v>
      </c>
      <c r="M3">
        <f>_xlfn.XLOOKUP(B3, province_power_capacity_2025_raw[province], province_power_capacity_2025_raw[waste_pp_mw], "Tidak Ada")</f>
        <v>0</v>
      </c>
      <c r="N3">
        <f>_xlfn.XLOOKUP(B3, province_power_capacity_2025_raw[province], province_power_capacity_2025_raw[diesel_pp_mw], "Tidak Ada")</f>
        <v>127.71</v>
      </c>
      <c r="O3">
        <f>_xlfn.XLOOKUP(B3, province_power_capacity_2025_raw[province], province_power_capacity_2025_raw[steam_pp_mw], "Tidak Ada")</f>
        <v>380</v>
      </c>
      <c r="P3">
        <f>_xlfn.XLOOKUP(B3, province_power_capacity_2025_raw[province], province_power_capacity_2025_raw[gas_pp_mw], "Tidak Ada")</f>
        <v>584.53</v>
      </c>
      <c r="Q3">
        <f>_xlfn.XLOOKUP(B3, province_power_capacity_2025_raw[province], province_power_capacity_2025_raw[coal_gasification_pp_mw], "Tidak Ada")</f>
        <v>0</v>
      </c>
      <c r="R3">
        <f>_xlfn.XLOOKUP(B3, province_power_capacity_2025_raw[province], province_power_capacity_2025_raw[combined_cycle_pp_mw], "Tidak Ada")</f>
        <v>0</v>
      </c>
      <c r="S3">
        <f>_xlfn.XLOOKUP(B3, province_power_capacity_2025_raw[province], province_power_capacity_2025_raw[gas_engine_pp_mw], "Tidak Ada")</f>
        <v>199.66</v>
      </c>
    </row>
    <row r="4" spans="1:19" x14ac:dyDescent="0.35">
      <c r="A4">
        <f>IFERROR(INDEX(province_power_capacity_2025_ra!$A$2:$A$38,MATCH(B4, province_power_capacity_2025_raw[province],0)),"Data Tidak Ditemukan")</f>
        <v>36</v>
      </c>
      <c r="B4" t="str">
        <f>province_power_capacity_2025_ra!B4</f>
        <v>Banten</v>
      </c>
      <c r="C4">
        <f>_xlfn.XLOOKUP(B4, 'pivot and cleaned data'!$B$5:$B$43, 'pivot and cleaned data'!$L$5:$L$43, "Tidak Ditemukan")</f>
        <v>74672.679999999993</v>
      </c>
      <c r="D4">
        <f>_xlfn.XLOOKUP(B4, province_power_capacity_2025_raw[province], province_power_capacity_2025_raw[hydro_pp_mw], "Tidak Ada")</f>
        <v>0</v>
      </c>
      <c r="E4">
        <f>_xlfn.XLOOKUP(B4, province_power_capacity_2025_raw[province], province_power_capacity_2025_raw[mini_hydro_pp_mw], "Tidak Ada")</f>
        <v>0</v>
      </c>
      <c r="F4">
        <f>_xlfn.XLOOKUP(B4, province_power_capacity_2025_raw[province], province_power_capacity_2025_raw[micro_hydro_pp_mw], "Tidak Ada")</f>
        <v>15.5</v>
      </c>
      <c r="G4">
        <f>_xlfn.XLOOKUP(B4, province_power_capacity_2025_raw[province], province_power_capacity_2025_raw[geothermal_pp_mw], "Tidak Ada")</f>
        <v>0</v>
      </c>
      <c r="H4">
        <f>_xlfn.XLOOKUP(B4, province_power_capacity_2025_raw[province], province_power_capacity_2025_raw[solar_pp_mw], "Tidak Ada")</f>
        <v>91.53</v>
      </c>
      <c r="I4">
        <f>_xlfn.XLOOKUP(B4, province_power_capacity_2025_raw[province], province_power_capacity_2025_raw[wind_pp_mw], "Tidak Ada")</f>
        <v>0</v>
      </c>
      <c r="J4">
        <f>_xlfn.XLOOKUP(B4, province_power_capacity_2025_raw[province], province_power_capacity_2025_raw[biogas_pp_mw], "Tidak Ada")</f>
        <v>0</v>
      </c>
      <c r="K4">
        <f>_xlfn.XLOOKUP(B4, province_power_capacity_2025_raw[province], province_power_capacity_2025_raw[biomass_pp_mw], "Tidak Ada")</f>
        <v>0</v>
      </c>
      <c r="L4">
        <f>_xlfn.XLOOKUP(B4, province_power_capacity_2025_raw[province], province_power_capacity_2025_raw[biofuel_pp_mw], "Tidak Ada")</f>
        <v>0</v>
      </c>
      <c r="M4">
        <f>_xlfn.XLOOKUP(B4, province_power_capacity_2025_raw[province], province_power_capacity_2025_raw[waste_pp_mw], "Tidak Ada")</f>
        <v>0</v>
      </c>
      <c r="N4">
        <f>_xlfn.XLOOKUP(B4, province_power_capacity_2025_raw[province], province_power_capacity_2025_raw[diesel_pp_mw], "Tidak Ada")</f>
        <v>165.53</v>
      </c>
      <c r="O4">
        <f>_xlfn.XLOOKUP(B4, province_power_capacity_2025_raw[province], province_power_capacity_2025_raw[steam_pp_mw], "Tidak Ada")</f>
        <v>11436.44</v>
      </c>
      <c r="P4">
        <f>_xlfn.XLOOKUP(B4, province_power_capacity_2025_raw[province], province_power_capacity_2025_raw[gas_pp_mw], "Tidak Ada")</f>
        <v>80.599999999999994</v>
      </c>
      <c r="Q4">
        <f>_xlfn.XLOOKUP(B4, province_power_capacity_2025_raw[province], province_power_capacity_2025_raw[coal_gasification_pp_mw], "Tidak Ada")</f>
        <v>200</v>
      </c>
      <c r="R4">
        <f>_xlfn.XLOOKUP(B4, province_power_capacity_2025_raw[province], province_power_capacity_2025_raw[combined_cycle_pp_mw], "Tidak Ada")</f>
        <v>859.4</v>
      </c>
      <c r="S4">
        <f>_xlfn.XLOOKUP(B4, province_power_capacity_2025_raw[province], province_power_capacity_2025_raw[gas_engine_pp_mw], "Tidak Ada")</f>
        <v>12.25</v>
      </c>
    </row>
    <row r="5" spans="1:19" x14ac:dyDescent="0.35">
      <c r="A5">
        <f>IFERROR(INDEX(province_power_capacity_2025_ra!$A$2:$A$38,MATCH(B5, province_power_capacity_2025_raw[province],0)),"Data Tidak Ditemukan")</f>
        <v>17</v>
      </c>
      <c r="B5" t="str">
        <f>province_power_capacity_2025_ra!B5</f>
        <v>Bengkulu</v>
      </c>
      <c r="C5">
        <f>_xlfn.XLOOKUP(B5, 'pivot and cleaned data'!$B$5:$B$43, 'pivot and cleaned data'!$L$5:$L$43, "Tidak Ditemukan")</f>
        <v>52304.54</v>
      </c>
      <c r="D5">
        <f>_xlfn.XLOOKUP(B5, province_power_capacity_2025_raw[province], province_power_capacity_2025_raw[hydro_pp_mw], "Tidak Ada")</f>
        <v>277.14999999999998</v>
      </c>
      <c r="E5">
        <f>_xlfn.XLOOKUP(B5, province_power_capacity_2025_raw[province], province_power_capacity_2025_raw[mini_hydro_pp_mw], "Tidak Ada")</f>
        <v>42.77</v>
      </c>
      <c r="F5">
        <f>_xlfn.XLOOKUP(B5, province_power_capacity_2025_raw[province], province_power_capacity_2025_raw[micro_hydro_pp_mw], "Tidak Ada")</f>
        <v>2.64</v>
      </c>
      <c r="G5">
        <f>_xlfn.XLOOKUP(B5, province_power_capacity_2025_raw[province], province_power_capacity_2025_raw[geothermal_pp_mw], "Tidak Ada")</f>
        <v>0</v>
      </c>
      <c r="H5">
        <f>_xlfn.XLOOKUP(B5, province_power_capacity_2025_raw[province], province_power_capacity_2025_raw[solar_pp_mw], "Tidak Ada")</f>
        <v>0.41</v>
      </c>
      <c r="I5">
        <f>_xlfn.XLOOKUP(B5, province_power_capacity_2025_raw[province], province_power_capacity_2025_raw[wind_pp_mw], "Tidak Ada")</f>
        <v>0</v>
      </c>
      <c r="J5">
        <f>_xlfn.XLOOKUP(B5, province_power_capacity_2025_raw[province], province_power_capacity_2025_raw[biogas_pp_mw], "Tidak Ada")</f>
        <v>3.3</v>
      </c>
      <c r="K5">
        <f>_xlfn.XLOOKUP(B5, province_power_capacity_2025_raw[province], province_power_capacity_2025_raw[biomass_pp_mw], "Tidak Ada")</f>
        <v>15.04</v>
      </c>
      <c r="L5">
        <f>_xlfn.XLOOKUP(B5, province_power_capacity_2025_raw[province], province_power_capacity_2025_raw[biofuel_pp_mw], "Tidak Ada")</f>
        <v>0</v>
      </c>
      <c r="M5">
        <f>_xlfn.XLOOKUP(B5, province_power_capacity_2025_raw[province], province_power_capacity_2025_raw[waste_pp_mw], "Tidak Ada")</f>
        <v>0</v>
      </c>
      <c r="N5">
        <f>_xlfn.XLOOKUP(B5, province_power_capacity_2025_raw[province], province_power_capacity_2025_raw[diesel_pp_mw], "Tidak Ada")</f>
        <v>21.39</v>
      </c>
      <c r="O5">
        <f>_xlfn.XLOOKUP(B5, province_power_capacity_2025_raw[province], province_power_capacity_2025_raw[steam_pp_mw], "Tidak Ada")</f>
        <v>200</v>
      </c>
      <c r="P5">
        <f>_xlfn.XLOOKUP(B5, province_power_capacity_2025_raw[province], province_power_capacity_2025_raw[gas_pp_mw], "Tidak Ada")</f>
        <v>0</v>
      </c>
      <c r="Q5">
        <f>_xlfn.XLOOKUP(B5, province_power_capacity_2025_raw[province], province_power_capacity_2025_raw[coal_gasification_pp_mw], "Tidak Ada")</f>
        <v>0</v>
      </c>
      <c r="R5">
        <f>_xlfn.XLOOKUP(B5, province_power_capacity_2025_raw[province], province_power_capacity_2025_raw[combined_cycle_pp_mw], "Tidak Ada")</f>
        <v>0</v>
      </c>
      <c r="S5">
        <f>_xlfn.XLOOKUP(B5, province_power_capacity_2025_raw[province], province_power_capacity_2025_raw[gas_engine_pp_mw], "Tidak Ada")</f>
        <v>0</v>
      </c>
    </row>
    <row r="6" spans="1:19" x14ac:dyDescent="0.35">
      <c r="A6">
        <f>IFERROR(INDEX(province_power_capacity_2025_ra!$A$2:$A$38,MATCH(B6, province_power_capacity_2025_raw[province],0)),"Data Tidak Ditemukan")</f>
        <v>34</v>
      </c>
      <c r="B6" t="str">
        <f>province_power_capacity_2025_ra!B6</f>
        <v>DI Yogyakarta</v>
      </c>
      <c r="C6">
        <f>_xlfn.XLOOKUP(B6, 'pivot and cleaned data'!$B$5:$B$43, 'pivot and cleaned data'!$L$5:$L$43, "Tidak Ditemukan")</f>
        <v>55039.3</v>
      </c>
      <c r="D6">
        <f>_xlfn.XLOOKUP(B6, province_power_capacity_2025_raw[province], province_power_capacity_2025_raw[hydro_pp_mw], "Tidak Ada")</f>
        <v>0</v>
      </c>
      <c r="E6">
        <f>_xlfn.XLOOKUP(B6, province_power_capacity_2025_raw[province], province_power_capacity_2025_raw[mini_hydro_pp_mw], "Tidak Ada")</f>
        <v>0</v>
      </c>
      <c r="F6">
        <f>_xlfn.XLOOKUP(B6, province_power_capacity_2025_raw[province], province_power_capacity_2025_raw[micro_hydro_pp_mw], "Tidak Ada")</f>
        <v>0.5</v>
      </c>
      <c r="G6">
        <f>_xlfn.XLOOKUP(B6, province_power_capacity_2025_raw[province], province_power_capacity_2025_raw[geothermal_pp_mw], "Tidak Ada")</f>
        <v>0</v>
      </c>
      <c r="H6">
        <f>_xlfn.XLOOKUP(B6, province_power_capacity_2025_raw[province], province_power_capacity_2025_raw[solar_pp_mw], "Tidak Ada")</f>
        <v>4.17</v>
      </c>
      <c r="I6">
        <f>_xlfn.XLOOKUP(B6, province_power_capacity_2025_raw[province], province_power_capacity_2025_raw[wind_pp_mw], "Tidak Ada")</f>
        <v>0</v>
      </c>
      <c r="J6">
        <f>_xlfn.XLOOKUP(B6, province_power_capacity_2025_raw[province], province_power_capacity_2025_raw[biogas_pp_mw], "Tidak Ada")</f>
        <v>0</v>
      </c>
      <c r="K6">
        <f>_xlfn.XLOOKUP(B6, province_power_capacity_2025_raw[province], province_power_capacity_2025_raw[biomass_pp_mw], "Tidak Ada")</f>
        <v>3.8</v>
      </c>
      <c r="L6">
        <f>_xlfn.XLOOKUP(B6, province_power_capacity_2025_raw[province], province_power_capacity_2025_raw[biofuel_pp_mw], "Tidak Ada")</f>
        <v>0</v>
      </c>
      <c r="M6">
        <f>_xlfn.XLOOKUP(B6, province_power_capacity_2025_raw[province], province_power_capacity_2025_raw[waste_pp_mw], "Tidak Ada")</f>
        <v>0</v>
      </c>
      <c r="N6">
        <f>_xlfn.XLOOKUP(B6, province_power_capacity_2025_raw[province], province_power_capacity_2025_raw[diesel_pp_mw], "Tidak Ada")</f>
        <v>8.31</v>
      </c>
      <c r="O6">
        <f>_xlfn.XLOOKUP(B6, province_power_capacity_2025_raw[province], province_power_capacity_2025_raw[steam_pp_mw], "Tidak Ada")</f>
        <v>0</v>
      </c>
      <c r="P6">
        <f>_xlfn.XLOOKUP(B6, province_power_capacity_2025_raw[province], province_power_capacity_2025_raw[gas_pp_mw], "Tidak Ada")</f>
        <v>0</v>
      </c>
      <c r="Q6">
        <f>_xlfn.XLOOKUP(B6, province_power_capacity_2025_raw[province], province_power_capacity_2025_raw[coal_gasification_pp_mw], "Tidak Ada")</f>
        <v>0</v>
      </c>
      <c r="R6">
        <f>_xlfn.XLOOKUP(B6, province_power_capacity_2025_raw[province], province_power_capacity_2025_raw[combined_cycle_pp_mw], "Tidak Ada")</f>
        <v>0</v>
      </c>
      <c r="S6">
        <f>_xlfn.XLOOKUP(B6, province_power_capacity_2025_raw[province], province_power_capacity_2025_raw[gas_engine_pp_mw], "Tidak Ada")</f>
        <v>0</v>
      </c>
    </row>
    <row r="7" spans="1:19" x14ac:dyDescent="0.35">
      <c r="A7">
        <f>IFERROR(INDEX(province_power_capacity_2025_ra!$A$2:$A$38,MATCH(B7, province_power_capacity_2025_raw[province],0)),"Data Tidak Ditemukan")</f>
        <v>31</v>
      </c>
      <c r="B7" t="str">
        <f>province_power_capacity_2025_ra!B7</f>
        <v>DKI Jakarta</v>
      </c>
      <c r="C7">
        <f>_xlfn.XLOOKUP(B7, 'pivot and cleaned data'!$B$5:$B$43, 'pivot and cleaned data'!$L$5:$L$43, "Tidak Ditemukan")</f>
        <v>367687.07</v>
      </c>
      <c r="D7">
        <f>_xlfn.XLOOKUP(B7, province_power_capacity_2025_raw[province], province_power_capacity_2025_raw[hydro_pp_mw], "Tidak Ada")</f>
        <v>0</v>
      </c>
      <c r="E7">
        <f>_xlfn.XLOOKUP(B7, province_power_capacity_2025_raw[province], province_power_capacity_2025_raw[mini_hydro_pp_mw], "Tidak Ada")</f>
        <v>0</v>
      </c>
      <c r="F7">
        <f>_xlfn.XLOOKUP(B7, province_power_capacity_2025_raw[province], province_power_capacity_2025_raw[micro_hydro_pp_mw], "Tidak Ada")</f>
        <v>0</v>
      </c>
      <c r="G7">
        <f>_xlfn.XLOOKUP(B7, province_power_capacity_2025_raw[province], province_power_capacity_2025_raw[geothermal_pp_mw], "Tidak Ada")</f>
        <v>0</v>
      </c>
      <c r="H7">
        <f>_xlfn.XLOOKUP(B7, province_power_capacity_2025_raw[province], province_power_capacity_2025_raw[solar_pp_mw], "Tidak Ada")</f>
        <v>65.33</v>
      </c>
      <c r="I7">
        <f>_xlfn.XLOOKUP(B7, province_power_capacity_2025_raw[province], province_power_capacity_2025_raw[wind_pp_mw], "Tidak Ada")</f>
        <v>0</v>
      </c>
      <c r="J7">
        <f>_xlfn.XLOOKUP(B7, province_power_capacity_2025_raw[province], province_power_capacity_2025_raw[biogas_pp_mw], "Tidak Ada")</f>
        <v>0</v>
      </c>
      <c r="K7">
        <f>_xlfn.XLOOKUP(B7, province_power_capacity_2025_raw[province], province_power_capacity_2025_raw[biomass_pp_mw], "Tidak Ada")</f>
        <v>0</v>
      </c>
      <c r="L7">
        <f>_xlfn.XLOOKUP(B7, province_power_capacity_2025_raw[province], province_power_capacity_2025_raw[biofuel_pp_mw], "Tidak Ada")</f>
        <v>0</v>
      </c>
      <c r="M7">
        <f>_xlfn.XLOOKUP(B7, province_power_capacity_2025_raw[province], province_power_capacity_2025_raw[waste_pp_mw], "Tidak Ada")</f>
        <v>0</v>
      </c>
      <c r="N7">
        <f>_xlfn.XLOOKUP(B7, province_power_capacity_2025_raw[province], province_power_capacity_2025_raw[diesel_pp_mw], "Tidak Ada")</f>
        <v>504.12</v>
      </c>
      <c r="O7">
        <f>_xlfn.XLOOKUP(B7, province_power_capacity_2025_raw[province], province_power_capacity_2025_raw[steam_pp_mw], "Tidak Ada")</f>
        <v>400</v>
      </c>
      <c r="P7">
        <f>_xlfn.XLOOKUP(B7, province_power_capacity_2025_raw[province], province_power_capacity_2025_raw[gas_pp_mw], "Tidak Ada")</f>
        <v>0</v>
      </c>
      <c r="Q7">
        <f>_xlfn.XLOOKUP(B7, province_power_capacity_2025_raw[province], province_power_capacity_2025_raw[coal_gasification_pp_mw], "Tidak Ada")</f>
        <v>0</v>
      </c>
      <c r="R7">
        <f>_xlfn.XLOOKUP(B7, province_power_capacity_2025_raw[province], province_power_capacity_2025_raw[combined_cycle_pp_mw], "Tidak Ada")</f>
        <v>4614.07</v>
      </c>
      <c r="S7">
        <f>_xlfn.XLOOKUP(B7, province_power_capacity_2025_raw[province], province_power_capacity_2025_raw[gas_engine_pp_mw], "Tidak Ada")</f>
        <v>0</v>
      </c>
    </row>
    <row r="8" spans="1:19" x14ac:dyDescent="0.35">
      <c r="A8">
        <f>IFERROR(INDEX(province_power_capacity_2025_ra!$A$2:$A$38,MATCH(B8, province_power_capacity_2025_raw[province],0)),"Data Tidak Ditemukan")</f>
        <v>75</v>
      </c>
      <c r="B8" t="str">
        <f>province_power_capacity_2025_ra!B8</f>
        <v>Gorontalo</v>
      </c>
      <c r="C8">
        <f>_xlfn.XLOOKUP(B8, 'pivot and cleaned data'!$B$5:$B$43, 'pivot and cleaned data'!$L$5:$L$43, "Tidak Ditemukan")</f>
        <v>47476.82</v>
      </c>
      <c r="D8">
        <f>_xlfn.XLOOKUP(B8, province_power_capacity_2025_raw[province], province_power_capacity_2025_raw[hydro_pp_mw], "Tidak Ada")</f>
        <v>0</v>
      </c>
      <c r="E8">
        <f>_xlfn.XLOOKUP(B8, province_power_capacity_2025_raw[province], province_power_capacity_2025_raw[mini_hydro_pp_mw], "Tidak Ada")</f>
        <v>14.9</v>
      </c>
      <c r="F8">
        <f>_xlfn.XLOOKUP(B8, province_power_capacity_2025_raw[province], province_power_capacity_2025_raw[micro_hydro_pp_mw], "Tidak Ada")</f>
        <v>1.67</v>
      </c>
      <c r="G8">
        <f>_xlfn.XLOOKUP(B8, province_power_capacity_2025_raw[province], province_power_capacity_2025_raw[geothermal_pp_mw], "Tidak Ada")</f>
        <v>0</v>
      </c>
      <c r="H8">
        <f>_xlfn.XLOOKUP(B8, province_power_capacity_2025_raw[province], province_power_capacity_2025_raw[solar_pp_mw], "Tidak Ada")</f>
        <v>13.21</v>
      </c>
      <c r="I8">
        <f>_xlfn.XLOOKUP(B8, province_power_capacity_2025_raw[province], province_power_capacity_2025_raw[wind_pp_mw], "Tidak Ada")</f>
        <v>0</v>
      </c>
      <c r="J8">
        <f>_xlfn.XLOOKUP(B8, province_power_capacity_2025_raw[province], province_power_capacity_2025_raw[biogas_pp_mw], "Tidak Ada")</f>
        <v>0</v>
      </c>
      <c r="K8">
        <f>_xlfn.XLOOKUP(B8, province_power_capacity_2025_raw[province], province_power_capacity_2025_raw[biomass_pp_mw], "Tidak Ada")</f>
        <v>1.94</v>
      </c>
      <c r="L8">
        <f>_xlfn.XLOOKUP(B8, province_power_capacity_2025_raw[province], province_power_capacity_2025_raw[biofuel_pp_mw], "Tidak Ada")</f>
        <v>0</v>
      </c>
      <c r="M8">
        <f>_xlfn.XLOOKUP(B8, province_power_capacity_2025_raw[province], province_power_capacity_2025_raw[waste_pp_mw], "Tidak Ada")</f>
        <v>0</v>
      </c>
      <c r="N8">
        <f>_xlfn.XLOOKUP(B8, province_power_capacity_2025_raw[province], province_power_capacity_2025_raw[diesel_pp_mw], "Tidak Ada")</f>
        <v>24.83</v>
      </c>
      <c r="O8">
        <f>_xlfn.XLOOKUP(B8, province_power_capacity_2025_raw[province], province_power_capacity_2025_raw[steam_pp_mw], "Tidak Ada")</f>
        <v>176</v>
      </c>
      <c r="P8">
        <f>_xlfn.XLOOKUP(B8, province_power_capacity_2025_raw[province], province_power_capacity_2025_raw[gas_pp_mw], "Tidak Ada")</f>
        <v>75</v>
      </c>
      <c r="Q8">
        <f>_xlfn.XLOOKUP(B8, province_power_capacity_2025_raw[province], province_power_capacity_2025_raw[coal_gasification_pp_mw], "Tidak Ada")</f>
        <v>0</v>
      </c>
      <c r="R8">
        <f>_xlfn.XLOOKUP(B8, province_power_capacity_2025_raw[province], province_power_capacity_2025_raw[combined_cycle_pp_mw], "Tidak Ada")</f>
        <v>0</v>
      </c>
      <c r="S8">
        <f>_xlfn.XLOOKUP(B8, province_power_capacity_2025_raw[province], province_power_capacity_2025_raw[gas_engine_pp_mw], "Tidak Ada")</f>
        <v>0</v>
      </c>
    </row>
    <row r="9" spans="1:19" x14ac:dyDescent="0.35">
      <c r="A9">
        <f>IFERROR(INDEX(province_power_capacity_2025_ra!$A$2:$A$38,MATCH(B9, province_power_capacity_2025_raw[province],0)),"Data Tidak Ditemukan")</f>
        <v>15</v>
      </c>
      <c r="B9" t="str">
        <f>province_power_capacity_2025_ra!B9</f>
        <v>Jambi</v>
      </c>
      <c r="C9">
        <f>_xlfn.XLOOKUP(B9, 'pivot and cleaned data'!$B$5:$B$43, 'pivot and cleaned data'!$L$5:$L$43, "Tidak Ditemukan")</f>
        <v>92786.06</v>
      </c>
      <c r="D9">
        <f>_xlfn.XLOOKUP(B9, province_power_capacity_2025_raw[province], province_power_capacity_2025_raw[hydro_pp_mw], "Tidak Ada")</f>
        <v>492</v>
      </c>
      <c r="E9">
        <f>_xlfn.XLOOKUP(B9, province_power_capacity_2025_raw[province], province_power_capacity_2025_raw[mini_hydro_pp_mw], "Tidak Ada")</f>
        <v>3.2</v>
      </c>
      <c r="F9">
        <f>_xlfn.XLOOKUP(B9, province_power_capacity_2025_raw[province], province_power_capacity_2025_raw[micro_hydro_pp_mw], "Tidak Ada")</f>
        <v>1.01</v>
      </c>
      <c r="G9">
        <f>_xlfn.XLOOKUP(B9, province_power_capacity_2025_raw[province], province_power_capacity_2025_raw[geothermal_pp_mw], "Tidak Ada")</f>
        <v>0</v>
      </c>
      <c r="H9">
        <f>_xlfn.XLOOKUP(B9, province_power_capacity_2025_raw[province], province_power_capacity_2025_raw[solar_pp_mw], "Tidak Ada")</f>
        <v>1.87</v>
      </c>
      <c r="I9">
        <f>_xlfn.XLOOKUP(B9, province_power_capacity_2025_raw[province], province_power_capacity_2025_raw[wind_pp_mw], "Tidak Ada")</f>
        <v>0</v>
      </c>
      <c r="J9">
        <f>_xlfn.XLOOKUP(B9, province_power_capacity_2025_raw[province], province_power_capacity_2025_raw[biogas_pp_mw], "Tidak Ada")</f>
        <v>6.2</v>
      </c>
      <c r="K9">
        <f>_xlfn.XLOOKUP(B9, province_power_capacity_2025_raw[province], province_power_capacity_2025_raw[biomass_pp_mw], "Tidak Ada")</f>
        <v>119.08</v>
      </c>
      <c r="L9">
        <f>_xlfn.XLOOKUP(B9, province_power_capacity_2025_raw[province], province_power_capacity_2025_raw[biofuel_pp_mw], "Tidak Ada")</f>
        <v>0</v>
      </c>
      <c r="M9">
        <f>_xlfn.XLOOKUP(B9, province_power_capacity_2025_raw[province], province_power_capacity_2025_raw[waste_pp_mw], "Tidak Ada")</f>
        <v>0</v>
      </c>
      <c r="N9">
        <f>_xlfn.XLOOKUP(B9, province_power_capacity_2025_raw[province], province_power_capacity_2025_raw[diesel_pp_mw], "Tidak Ada")</f>
        <v>19.260000000000002</v>
      </c>
      <c r="O9">
        <f>_xlfn.XLOOKUP(B9, province_power_capacity_2025_raw[province], province_power_capacity_2025_raw[steam_pp_mw], "Tidak Ada")</f>
        <v>318</v>
      </c>
      <c r="P9">
        <f>_xlfn.XLOOKUP(B9, province_power_capacity_2025_raw[province], province_power_capacity_2025_raw[gas_pp_mw], "Tidak Ada")</f>
        <v>100</v>
      </c>
      <c r="Q9">
        <f>_xlfn.XLOOKUP(B9, province_power_capacity_2025_raw[province], province_power_capacity_2025_raw[coal_gasification_pp_mw], "Tidak Ada")</f>
        <v>0</v>
      </c>
      <c r="R9">
        <f>_xlfn.XLOOKUP(B9, province_power_capacity_2025_raw[province], province_power_capacity_2025_raw[combined_cycle_pp_mw], "Tidak Ada")</f>
        <v>0</v>
      </c>
      <c r="S9">
        <f>_xlfn.XLOOKUP(B9, province_power_capacity_2025_raw[province], province_power_capacity_2025_raw[gas_engine_pp_mw], "Tidak Ada")</f>
        <v>116.92</v>
      </c>
    </row>
    <row r="10" spans="1:19" x14ac:dyDescent="0.35">
      <c r="A10">
        <f>IFERROR(INDEX(province_power_capacity_2025_ra!$A$2:$A$38,MATCH(B10, province_power_capacity_2025_raw[province],0)),"Data Tidak Ditemukan")</f>
        <v>32</v>
      </c>
      <c r="B10" t="str">
        <f>province_power_capacity_2025_ra!B10</f>
        <v>Jawa Barat</v>
      </c>
      <c r="C10">
        <f>_xlfn.XLOOKUP(B10, 'pivot and cleaned data'!$B$5:$B$43, 'pivot and cleaned data'!$L$5:$L$43, "Tidak Ditemukan")</f>
        <v>59864.61</v>
      </c>
      <c r="D10">
        <f>_xlfn.XLOOKUP(B10, province_power_capacity_2025_raw[province], province_power_capacity_2025_raw[hydro_pp_mw], "Tidak Ada")</f>
        <v>2056.6</v>
      </c>
      <c r="E10">
        <f>_xlfn.XLOOKUP(B10, province_power_capacity_2025_raw[province], province_power_capacity_2025_raw[mini_hydro_pp_mw], "Tidak Ada")</f>
        <v>237.89</v>
      </c>
      <c r="F10">
        <f>_xlfn.XLOOKUP(B10, province_power_capacity_2025_raw[province], province_power_capacity_2025_raw[micro_hydro_pp_mw], "Tidak Ada")</f>
        <v>4.13</v>
      </c>
      <c r="G10">
        <f>_xlfn.XLOOKUP(B10, province_power_capacity_2025_raw[province], province_power_capacity_2025_raw[geothermal_pp_mw], "Tidak Ada")</f>
        <v>1260.68</v>
      </c>
      <c r="H10">
        <f>_xlfn.XLOOKUP(B10, province_power_capacity_2025_raw[province], province_power_capacity_2025_raw[solar_pp_mw], "Tidak Ada")</f>
        <v>630.85</v>
      </c>
      <c r="I10">
        <f>_xlfn.XLOOKUP(B10, province_power_capacity_2025_raw[province], province_power_capacity_2025_raw[wind_pp_mw], "Tidak Ada")</f>
        <v>0</v>
      </c>
      <c r="J10">
        <f>_xlfn.XLOOKUP(B10, province_power_capacity_2025_raw[province], province_power_capacity_2025_raw[biogas_pp_mw], "Tidak Ada")</f>
        <v>0</v>
      </c>
      <c r="K10">
        <f>_xlfn.XLOOKUP(B10, province_power_capacity_2025_raw[province], province_power_capacity_2025_raw[biomass_pp_mw], "Tidak Ada")</f>
        <v>0</v>
      </c>
      <c r="L10">
        <f>_xlfn.XLOOKUP(B10, province_power_capacity_2025_raw[province], province_power_capacity_2025_raw[biofuel_pp_mw], "Tidak Ada")</f>
        <v>0</v>
      </c>
      <c r="M10">
        <f>_xlfn.XLOOKUP(B10, province_power_capacity_2025_raw[province], province_power_capacity_2025_raw[waste_pp_mw], "Tidak Ada")</f>
        <v>14</v>
      </c>
      <c r="N10">
        <f>_xlfn.XLOOKUP(B10, province_power_capacity_2025_raw[province], province_power_capacity_2025_raw[diesel_pp_mw], "Tidak Ada")</f>
        <v>432.01</v>
      </c>
      <c r="O10">
        <f>_xlfn.XLOOKUP(B10, province_power_capacity_2025_raw[province], province_power_capacity_2025_raw[steam_pp_mw], "Tidak Ada")</f>
        <v>4103.3</v>
      </c>
      <c r="P10">
        <f>_xlfn.XLOOKUP(B10, province_power_capacity_2025_raw[province], province_power_capacity_2025_raw[gas_pp_mw], "Tidak Ada")</f>
        <v>1141.6500000000001</v>
      </c>
      <c r="Q10">
        <f>_xlfn.XLOOKUP(B10, province_power_capacity_2025_raw[province], province_power_capacity_2025_raw[coal_gasification_pp_mw], "Tidak Ada")</f>
        <v>0</v>
      </c>
      <c r="R10">
        <f>_xlfn.XLOOKUP(B10, province_power_capacity_2025_raw[province], province_power_capacity_2025_raw[combined_cycle_pp_mw], "Tidak Ada")</f>
        <v>4725.7700000000004</v>
      </c>
      <c r="S10">
        <f>_xlfn.XLOOKUP(B10, province_power_capacity_2025_raw[province], province_power_capacity_2025_raw[gas_engine_pp_mw], "Tidak Ada")</f>
        <v>3.48</v>
      </c>
    </row>
    <row r="11" spans="1:19" x14ac:dyDescent="0.35">
      <c r="A11">
        <f>IFERROR(INDEX(province_power_capacity_2025_ra!$A$2:$A$38,MATCH(B11, province_power_capacity_2025_raw[province],0)),"Data Tidak Ditemukan")</f>
        <v>33</v>
      </c>
      <c r="B11" t="str">
        <f>province_power_capacity_2025_ra!B11</f>
        <v>Jawa Tengah</v>
      </c>
      <c r="C11">
        <f>_xlfn.XLOOKUP(B11, 'pivot and cleaned data'!$B$5:$B$43, 'pivot and cleaned data'!$L$5:$L$43, "Tidak Ditemukan")</f>
        <v>50823.64</v>
      </c>
      <c r="D11">
        <f>_xlfn.XLOOKUP(B11, province_power_capacity_2025_raw[province], province_power_capacity_2025_raw[hydro_pp_mw], "Tidak Ada")</f>
        <v>229.8</v>
      </c>
      <c r="E11">
        <f>_xlfn.XLOOKUP(B11, province_power_capacity_2025_raw[province], province_power_capacity_2025_raw[mini_hydro_pp_mw], "Tidak Ada")</f>
        <v>133.22999999999999</v>
      </c>
      <c r="F11">
        <f>_xlfn.XLOOKUP(B11, province_power_capacity_2025_raw[province], province_power_capacity_2025_raw[micro_hydro_pp_mw], "Tidak Ada")</f>
        <v>9.76</v>
      </c>
      <c r="G11">
        <f>_xlfn.XLOOKUP(B11, province_power_capacity_2025_raw[province], province_power_capacity_2025_raw[geothermal_pp_mw], "Tidak Ada")</f>
        <v>72.8</v>
      </c>
      <c r="H11">
        <f>_xlfn.XLOOKUP(B11, province_power_capacity_2025_raw[province], province_power_capacity_2025_raw[solar_pp_mw], "Tidak Ada")</f>
        <v>108.61</v>
      </c>
      <c r="I11">
        <f>_xlfn.XLOOKUP(B11, province_power_capacity_2025_raw[province], province_power_capacity_2025_raw[wind_pp_mw], "Tidak Ada")</f>
        <v>0</v>
      </c>
      <c r="J11">
        <f>_xlfn.XLOOKUP(B11, province_power_capacity_2025_raw[province], province_power_capacity_2025_raw[biogas_pp_mw], "Tidak Ada")</f>
        <v>0</v>
      </c>
      <c r="K11">
        <f>_xlfn.XLOOKUP(B11, province_power_capacity_2025_raw[province], province_power_capacity_2025_raw[biomass_pp_mw], "Tidak Ada")</f>
        <v>24.7</v>
      </c>
      <c r="L11">
        <f>_xlfn.XLOOKUP(B11, province_power_capacity_2025_raw[province], province_power_capacity_2025_raw[biofuel_pp_mw], "Tidak Ada")</f>
        <v>0</v>
      </c>
      <c r="M11">
        <f>_xlfn.XLOOKUP(B11, province_power_capacity_2025_raw[province], province_power_capacity_2025_raw[waste_pp_mw], "Tidak Ada")</f>
        <v>8</v>
      </c>
      <c r="N11">
        <f>_xlfn.XLOOKUP(B11, province_power_capacity_2025_raw[province], province_power_capacity_2025_raw[diesel_pp_mw], "Tidak Ada")</f>
        <v>96.85</v>
      </c>
      <c r="O11">
        <f>_xlfn.XLOOKUP(B11, province_power_capacity_2025_raw[province], province_power_capacity_2025_raw[steam_pp_mw], "Tidak Ada")</f>
        <v>10422.4</v>
      </c>
      <c r="P11">
        <f>_xlfn.XLOOKUP(B11, province_power_capacity_2025_raw[province], province_power_capacity_2025_raw[gas_pp_mw], "Tidak Ada")</f>
        <v>55</v>
      </c>
      <c r="Q11">
        <f>_xlfn.XLOOKUP(B11, province_power_capacity_2025_raw[province], province_power_capacity_2025_raw[coal_gasification_pp_mw], "Tidak Ada")</f>
        <v>0</v>
      </c>
      <c r="R11">
        <f>_xlfn.XLOOKUP(B11, province_power_capacity_2025_raw[province], province_power_capacity_2025_raw[combined_cycle_pp_mw], "Tidak Ada")</f>
        <v>1879.65</v>
      </c>
      <c r="S11">
        <f>_xlfn.XLOOKUP(B11, province_power_capacity_2025_raw[province], province_power_capacity_2025_raw[gas_engine_pp_mw], "Tidak Ada")</f>
        <v>0</v>
      </c>
    </row>
    <row r="12" spans="1:19" x14ac:dyDescent="0.35">
      <c r="A12">
        <f>IFERROR(INDEX(province_power_capacity_2025_ra!$A$2:$A$38,MATCH(B12, province_power_capacity_2025_raw[province],0)),"Data Tidak Ditemukan")</f>
        <v>35</v>
      </c>
      <c r="B12" t="str">
        <f>province_power_capacity_2025_ra!B12</f>
        <v>Jawa Timur</v>
      </c>
      <c r="C12">
        <f>_xlfn.XLOOKUP(B12, 'pivot and cleaned data'!$B$5:$B$43, 'pivot and cleaned data'!$L$5:$L$43, "Tidak Ditemukan")</f>
        <v>80855.92</v>
      </c>
      <c r="D12">
        <f>_xlfn.XLOOKUP(B12, province_power_capacity_2025_raw[province], province_power_capacity_2025_raw[hydro_pp_mw], "Tidak Ada")</f>
        <v>241.67</v>
      </c>
      <c r="E12">
        <f>_xlfn.XLOOKUP(B12, province_power_capacity_2025_raw[province], province_power_capacity_2025_raw[mini_hydro_pp_mw], "Tidak Ada")</f>
        <v>55.55</v>
      </c>
      <c r="F12">
        <f>_xlfn.XLOOKUP(B12, province_power_capacity_2025_raw[province], province_power_capacity_2025_raw[micro_hydro_pp_mw], "Tidak Ada")</f>
        <v>9.74</v>
      </c>
      <c r="G12">
        <f>_xlfn.XLOOKUP(B12, province_power_capacity_2025_raw[province], province_power_capacity_2025_raw[geothermal_pp_mw], "Tidak Ada")</f>
        <v>34</v>
      </c>
      <c r="H12">
        <f>_xlfn.XLOOKUP(B12, province_power_capacity_2025_raw[province], province_power_capacity_2025_raw[solar_pp_mw], "Tidak Ada")</f>
        <v>177.12</v>
      </c>
      <c r="I12">
        <f>_xlfn.XLOOKUP(B12, province_power_capacity_2025_raw[province], province_power_capacity_2025_raw[wind_pp_mw], "Tidak Ada")</f>
        <v>0</v>
      </c>
      <c r="J12">
        <f>_xlfn.XLOOKUP(B12, province_power_capacity_2025_raw[province], province_power_capacity_2025_raw[biogas_pp_mw], "Tidak Ada")</f>
        <v>2.0499999999999998</v>
      </c>
      <c r="K12">
        <f>_xlfn.XLOOKUP(B12, province_power_capacity_2025_raw[province], province_power_capacity_2025_raw[biomass_pp_mw], "Tidak Ada")</f>
        <v>178.64</v>
      </c>
      <c r="L12">
        <f>_xlfn.XLOOKUP(B12, province_power_capacity_2025_raw[province], province_power_capacity_2025_raw[biofuel_pp_mw], "Tidak Ada")</f>
        <v>0</v>
      </c>
      <c r="M12">
        <f>_xlfn.XLOOKUP(B12, province_power_capacity_2025_raw[province], province_power_capacity_2025_raw[waste_pp_mw], "Tidak Ada")</f>
        <v>13.65</v>
      </c>
      <c r="N12">
        <f>_xlfn.XLOOKUP(B12, province_power_capacity_2025_raw[province], province_power_capacity_2025_raw[diesel_pp_mw], "Tidak Ada")</f>
        <v>209.37</v>
      </c>
      <c r="O12">
        <f>_xlfn.XLOOKUP(B12, province_power_capacity_2025_raw[province], province_power_capacity_2025_raw[steam_pp_mw], "Tidak Ada")</f>
        <v>6965.64</v>
      </c>
      <c r="P12">
        <f>_xlfn.XLOOKUP(B12, province_power_capacity_2025_raw[province], province_power_capacity_2025_raw[gas_pp_mw], "Tidak Ada")</f>
        <v>176.43</v>
      </c>
      <c r="Q12">
        <f>_xlfn.XLOOKUP(B12, province_power_capacity_2025_raw[province], province_power_capacity_2025_raw[coal_gasification_pp_mw], "Tidak Ada")</f>
        <v>0</v>
      </c>
      <c r="R12">
        <f>_xlfn.XLOOKUP(B12, province_power_capacity_2025_raw[province], province_power_capacity_2025_raw[combined_cycle_pp_mw], "Tidak Ada")</f>
        <v>2837.36</v>
      </c>
      <c r="S12">
        <f>_xlfn.XLOOKUP(B12, province_power_capacity_2025_raw[province], province_power_capacity_2025_raw[gas_engine_pp_mw], "Tidak Ada")</f>
        <v>47.55</v>
      </c>
    </row>
    <row r="13" spans="1:19" x14ac:dyDescent="0.35">
      <c r="A13">
        <f>IFERROR(INDEX(province_power_capacity_2025_ra!$A$2:$A$38,MATCH(B13, province_power_capacity_2025_raw[province],0)),"Data Tidak Ditemukan")</f>
        <v>61</v>
      </c>
      <c r="B13" t="str">
        <f>province_power_capacity_2025_ra!B13</f>
        <v>Kalimantan Barat</v>
      </c>
      <c r="C13">
        <f>_xlfn.XLOOKUP(B13, 'pivot and cleaned data'!$B$5:$B$43, 'pivot and cleaned data'!$L$5:$L$43, "Tidak Ditemukan")</f>
        <v>56983.66</v>
      </c>
      <c r="D13">
        <f>_xlfn.XLOOKUP(B13, province_power_capacity_2025_raw[province], province_power_capacity_2025_raw[hydro_pp_mw], "Tidak Ada")</f>
        <v>0</v>
      </c>
      <c r="E13">
        <f>_xlfn.XLOOKUP(B13, province_power_capacity_2025_raw[province], province_power_capacity_2025_raw[mini_hydro_pp_mw], "Tidak Ada")</f>
        <v>1.32</v>
      </c>
      <c r="F13">
        <f>_xlfn.XLOOKUP(B13, province_power_capacity_2025_raw[province], province_power_capacity_2025_raw[micro_hydro_pp_mw], "Tidak Ada")</f>
        <v>5.28</v>
      </c>
      <c r="G13">
        <f>_xlfn.XLOOKUP(B13, province_power_capacity_2025_raw[province], province_power_capacity_2025_raw[geothermal_pp_mw], "Tidak Ada")</f>
        <v>0</v>
      </c>
      <c r="H13">
        <f>_xlfn.XLOOKUP(B13, province_power_capacity_2025_raw[province], province_power_capacity_2025_raw[solar_pp_mw], "Tidak Ada")</f>
        <v>7.39</v>
      </c>
      <c r="I13">
        <f>_xlfn.XLOOKUP(B13, province_power_capacity_2025_raw[province], province_power_capacity_2025_raw[wind_pp_mw], "Tidak Ada")</f>
        <v>0</v>
      </c>
      <c r="J13">
        <f>_xlfn.XLOOKUP(B13, province_power_capacity_2025_raw[province], province_power_capacity_2025_raw[biogas_pp_mw], "Tidak Ada")</f>
        <v>10.220000000000001</v>
      </c>
      <c r="K13">
        <f>_xlfn.XLOOKUP(B13, province_power_capacity_2025_raw[province], province_power_capacity_2025_raw[biomass_pp_mw], "Tidak Ada")</f>
        <v>146.16</v>
      </c>
      <c r="L13">
        <f>_xlfn.XLOOKUP(B13, province_power_capacity_2025_raw[province], province_power_capacity_2025_raw[biofuel_pp_mw], "Tidak Ada")</f>
        <v>0</v>
      </c>
      <c r="M13">
        <f>_xlfn.XLOOKUP(B13, province_power_capacity_2025_raw[province], province_power_capacity_2025_raw[waste_pp_mw], "Tidak Ada")</f>
        <v>0</v>
      </c>
      <c r="N13">
        <f>_xlfn.XLOOKUP(B13, province_power_capacity_2025_raw[province], province_power_capacity_2025_raw[diesel_pp_mw], "Tidak Ada")</f>
        <v>323.45</v>
      </c>
      <c r="O13">
        <f>_xlfn.XLOOKUP(B13, province_power_capacity_2025_raw[province], province_power_capacity_2025_raw[steam_pp_mw], "Tidak Ada")</f>
        <v>417</v>
      </c>
      <c r="P13">
        <f>_xlfn.XLOOKUP(B13, province_power_capacity_2025_raw[province], province_power_capacity_2025_raw[gas_pp_mw], "Tidak Ada")</f>
        <v>34</v>
      </c>
      <c r="Q13">
        <f>_xlfn.XLOOKUP(B13, province_power_capacity_2025_raw[province], province_power_capacity_2025_raw[coal_gasification_pp_mw], "Tidak Ada")</f>
        <v>0</v>
      </c>
      <c r="R13">
        <f>_xlfn.XLOOKUP(B13, province_power_capacity_2025_raw[province], province_power_capacity_2025_raw[combined_cycle_pp_mw], "Tidak Ada")</f>
        <v>0</v>
      </c>
      <c r="S13">
        <f>_xlfn.XLOOKUP(B13, province_power_capacity_2025_raw[province], province_power_capacity_2025_raw[gas_engine_pp_mw], "Tidak Ada")</f>
        <v>0</v>
      </c>
    </row>
    <row r="14" spans="1:19" x14ac:dyDescent="0.35">
      <c r="A14">
        <f>IFERROR(INDEX(province_power_capacity_2025_ra!$A$2:$A$38,MATCH(B14, province_power_capacity_2025_raw[province],0)),"Data Tidak Ditemukan")</f>
        <v>63</v>
      </c>
      <c r="B14" t="str">
        <f>province_power_capacity_2025_ra!B14</f>
        <v>Kalimantan Selatan</v>
      </c>
      <c r="C14">
        <f>_xlfn.XLOOKUP(B14, 'pivot and cleaned data'!$B$5:$B$43, 'pivot and cleaned data'!$L$5:$L$43, "Tidak Ditemukan")</f>
        <v>70576.83</v>
      </c>
      <c r="D14">
        <f>_xlfn.XLOOKUP(B14, province_power_capacity_2025_raw[province], province_power_capacity_2025_raw[hydro_pp_mw], "Tidak Ada")</f>
        <v>0</v>
      </c>
      <c r="E14">
        <f>_xlfn.XLOOKUP(B14, province_power_capacity_2025_raw[province], province_power_capacity_2025_raw[mini_hydro_pp_mw], "Tidak Ada")</f>
        <v>30</v>
      </c>
      <c r="F14">
        <f>_xlfn.XLOOKUP(B14, province_power_capacity_2025_raw[province], province_power_capacity_2025_raw[micro_hydro_pp_mw], "Tidak Ada")</f>
        <v>0.09</v>
      </c>
      <c r="G14">
        <f>_xlfn.XLOOKUP(B14, province_power_capacity_2025_raw[province], province_power_capacity_2025_raw[geothermal_pp_mw], "Tidak Ada")</f>
        <v>0</v>
      </c>
      <c r="H14">
        <f>_xlfn.XLOOKUP(B14, province_power_capacity_2025_raw[province], province_power_capacity_2025_raw[solar_pp_mw], "Tidak Ada")</f>
        <v>21.22</v>
      </c>
      <c r="I14">
        <f>_xlfn.XLOOKUP(B14, province_power_capacity_2025_raw[province], province_power_capacity_2025_raw[wind_pp_mw], "Tidak Ada")</f>
        <v>0</v>
      </c>
      <c r="J14">
        <f>_xlfn.XLOOKUP(B14, province_power_capacity_2025_raw[province], province_power_capacity_2025_raw[biogas_pp_mw], "Tidak Ada")</f>
        <v>7.7</v>
      </c>
      <c r="K14">
        <f>_xlfn.XLOOKUP(B14, province_power_capacity_2025_raw[province], province_power_capacity_2025_raw[biomass_pp_mw], "Tidak Ada")</f>
        <v>22.85</v>
      </c>
      <c r="L14">
        <f>_xlfn.XLOOKUP(B14, province_power_capacity_2025_raw[province], province_power_capacity_2025_raw[biofuel_pp_mw], "Tidak Ada")</f>
        <v>0</v>
      </c>
      <c r="M14">
        <f>_xlfn.XLOOKUP(B14, province_power_capacity_2025_raw[province], province_power_capacity_2025_raw[waste_pp_mw], "Tidak Ada")</f>
        <v>0</v>
      </c>
      <c r="N14">
        <f>_xlfn.XLOOKUP(B14, province_power_capacity_2025_raw[province], province_power_capacity_2025_raw[diesel_pp_mw], "Tidak Ada")</f>
        <v>151.16999999999999</v>
      </c>
      <c r="O14">
        <f>_xlfn.XLOOKUP(B14, province_power_capacity_2025_raw[province], province_power_capacity_2025_raw[steam_pp_mw], "Tidak Ada")</f>
        <v>823</v>
      </c>
      <c r="P14">
        <f>_xlfn.XLOOKUP(B14, province_power_capacity_2025_raw[province], province_power_capacity_2025_raw[gas_pp_mw], "Tidak Ada")</f>
        <v>21.55</v>
      </c>
      <c r="Q14">
        <f>_xlfn.XLOOKUP(B14, province_power_capacity_2025_raw[province], province_power_capacity_2025_raw[coal_gasification_pp_mw], "Tidak Ada")</f>
        <v>0</v>
      </c>
      <c r="R14">
        <f>_xlfn.XLOOKUP(B14, province_power_capacity_2025_raw[province], province_power_capacity_2025_raw[combined_cycle_pp_mw], "Tidak Ada")</f>
        <v>0</v>
      </c>
      <c r="S14">
        <f>_xlfn.XLOOKUP(B14, province_power_capacity_2025_raw[province], province_power_capacity_2025_raw[gas_engine_pp_mw], "Tidak Ada")</f>
        <v>2.4700000000000002</v>
      </c>
    </row>
    <row r="15" spans="1:19" x14ac:dyDescent="0.35">
      <c r="A15">
        <f>IFERROR(INDEX(province_power_capacity_2025_ra!$A$2:$A$38,MATCH(B15, province_power_capacity_2025_raw[province],0)),"Data Tidak Ditemukan")</f>
        <v>62</v>
      </c>
      <c r="B15" t="str">
        <f>province_power_capacity_2025_ra!B15</f>
        <v>Kalimantan Tengah</v>
      </c>
      <c r="C15">
        <f>_xlfn.XLOOKUP(B15, 'pivot and cleaned data'!$B$5:$B$43, 'pivot and cleaned data'!$L$5:$L$43, "Tidak Ditemukan")</f>
        <v>84729.84</v>
      </c>
      <c r="D15">
        <f>_xlfn.XLOOKUP(B15, province_power_capacity_2025_raw[province], province_power_capacity_2025_raw[hydro_pp_mw], "Tidak Ada")</f>
        <v>0</v>
      </c>
      <c r="E15">
        <f>_xlfn.XLOOKUP(B15, province_power_capacity_2025_raw[province], province_power_capacity_2025_raw[mini_hydro_pp_mw], "Tidak Ada")</f>
        <v>0</v>
      </c>
      <c r="F15">
        <f>_xlfn.XLOOKUP(B15, province_power_capacity_2025_raw[province], province_power_capacity_2025_raw[micro_hydro_pp_mw], "Tidak Ada")</f>
        <v>0.77</v>
      </c>
      <c r="G15">
        <f>_xlfn.XLOOKUP(B15, province_power_capacity_2025_raw[province], province_power_capacity_2025_raw[geothermal_pp_mw], "Tidak Ada")</f>
        <v>0</v>
      </c>
      <c r="H15">
        <f>_xlfn.XLOOKUP(B15, province_power_capacity_2025_raw[province], province_power_capacity_2025_raw[solar_pp_mw], "Tidak Ada")</f>
        <v>3.12</v>
      </c>
      <c r="I15">
        <f>_xlfn.XLOOKUP(B15, province_power_capacity_2025_raw[province], province_power_capacity_2025_raw[wind_pp_mw], "Tidak Ada")</f>
        <v>0</v>
      </c>
      <c r="J15">
        <f>_xlfn.XLOOKUP(B15, province_power_capacity_2025_raw[province], province_power_capacity_2025_raw[biogas_pp_mw], "Tidak Ada")</f>
        <v>34.25</v>
      </c>
      <c r="K15">
        <f>_xlfn.XLOOKUP(B15, province_power_capacity_2025_raw[province], province_power_capacity_2025_raw[biomass_pp_mw], "Tidak Ada")</f>
        <v>407.32</v>
      </c>
      <c r="L15">
        <f>_xlfn.XLOOKUP(B15, province_power_capacity_2025_raw[province], province_power_capacity_2025_raw[biofuel_pp_mw], "Tidak Ada")</f>
        <v>0</v>
      </c>
      <c r="M15">
        <f>_xlfn.XLOOKUP(B15, province_power_capacity_2025_raw[province], province_power_capacity_2025_raw[waste_pp_mw], "Tidak Ada")</f>
        <v>0</v>
      </c>
      <c r="N15">
        <f>_xlfn.XLOOKUP(B15, province_power_capacity_2025_raw[province], province_power_capacity_2025_raw[diesel_pp_mw], "Tidak Ada")</f>
        <v>119.06</v>
      </c>
      <c r="O15">
        <f>_xlfn.XLOOKUP(B15, province_power_capacity_2025_raw[province], province_power_capacity_2025_raw[steam_pp_mw], "Tidak Ada")</f>
        <v>389</v>
      </c>
      <c r="P15">
        <f>_xlfn.XLOOKUP(B15, province_power_capacity_2025_raw[province], province_power_capacity_2025_raw[gas_pp_mw], "Tidak Ada")</f>
        <v>0</v>
      </c>
      <c r="Q15">
        <f>_xlfn.XLOOKUP(B15, province_power_capacity_2025_raw[province], province_power_capacity_2025_raw[coal_gasification_pp_mw], "Tidak Ada")</f>
        <v>0</v>
      </c>
      <c r="R15">
        <f>_xlfn.XLOOKUP(B15, province_power_capacity_2025_raw[province], province_power_capacity_2025_raw[combined_cycle_pp_mw], "Tidak Ada")</f>
        <v>0</v>
      </c>
      <c r="S15">
        <f>_xlfn.XLOOKUP(B15, province_power_capacity_2025_raw[province], province_power_capacity_2025_raw[gas_engine_pp_mw], "Tidak Ada")</f>
        <v>155.68</v>
      </c>
    </row>
    <row r="16" spans="1:19" x14ac:dyDescent="0.35">
      <c r="A16">
        <f>IFERROR(INDEX(province_power_capacity_2025_ra!$A$2:$A$38,MATCH(B16, province_power_capacity_2025_raw[province],0)),"Data Tidak Ditemukan")</f>
        <v>64</v>
      </c>
      <c r="B16" t="str">
        <f>province_power_capacity_2025_ra!B16</f>
        <v>Kalimantan Timur</v>
      </c>
      <c r="C16">
        <f>_xlfn.XLOOKUP(B16, 'pivot and cleaned data'!$B$5:$B$43, 'pivot and cleaned data'!$L$5:$L$43, "Tidak Ditemukan")</f>
        <v>208330.9</v>
      </c>
      <c r="D16">
        <f>_xlfn.XLOOKUP(B16, province_power_capacity_2025_raw[province], province_power_capacity_2025_raw[hydro_pp_mw], "Tidak Ada")</f>
        <v>0</v>
      </c>
      <c r="E16">
        <f>_xlfn.XLOOKUP(B16, province_power_capacity_2025_raw[province], province_power_capacity_2025_raw[mini_hydro_pp_mw], "Tidak Ada")</f>
        <v>0</v>
      </c>
      <c r="F16">
        <f>_xlfn.XLOOKUP(B16, province_power_capacity_2025_raw[province], province_power_capacity_2025_raw[micro_hydro_pp_mw], "Tidak Ada")</f>
        <v>0.34</v>
      </c>
      <c r="G16">
        <f>_xlfn.XLOOKUP(B16, province_power_capacity_2025_raw[province], province_power_capacity_2025_raw[geothermal_pp_mw], "Tidak Ada")</f>
        <v>0</v>
      </c>
      <c r="H16">
        <f>_xlfn.XLOOKUP(B16, province_power_capacity_2025_raw[province], province_power_capacity_2025_raw[solar_pp_mw], "Tidak Ada")</f>
        <v>80.47</v>
      </c>
      <c r="I16">
        <f>_xlfn.XLOOKUP(B16, province_power_capacity_2025_raw[province], province_power_capacity_2025_raw[wind_pp_mw], "Tidak Ada")</f>
        <v>0</v>
      </c>
      <c r="J16">
        <f>_xlfn.XLOOKUP(B16, province_power_capacity_2025_raw[province], province_power_capacity_2025_raw[biogas_pp_mw], "Tidak Ada")</f>
        <v>17.28</v>
      </c>
      <c r="K16">
        <f>_xlfn.XLOOKUP(B16, province_power_capacity_2025_raw[province], province_power_capacity_2025_raw[biomass_pp_mw], "Tidak Ada")</f>
        <v>101.84</v>
      </c>
      <c r="L16">
        <f>_xlfn.XLOOKUP(B16, province_power_capacity_2025_raw[province], province_power_capacity_2025_raw[biofuel_pp_mw], "Tidak Ada")</f>
        <v>0</v>
      </c>
      <c r="M16">
        <f>_xlfn.XLOOKUP(B16, province_power_capacity_2025_raw[province], province_power_capacity_2025_raw[waste_pp_mw], "Tidak Ada")</f>
        <v>0</v>
      </c>
      <c r="N16">
        <f>_xlfn.XLOOKUP(B16, province_power_capacity_2025_raw[province], province_power_capacity_2025_raw[diesel_pp_mw], "Tidak Ada")</f>
        <v>293.56</v>
      </c>
      <c r="O16">
        <f>_xlfn.XLOOKUP(B16, province_power_capacity_2025_raw[province], province_power_capacity_2025_raw[steam_pp_mw], "Tidak Ada")</f>
        <v>1032.26</v>
      </c>
      <c r="P16">
        <f>_xlfn.XLOOKUP(B16, province_power_capacity_2025_raw[province], province_power_capacity_2025_raw[gas_pp_mw], "Tidak Ada")</f>
        <v>280.68</v>
      </c>
      <c r="Q16">
        <f>_xlfn.XLOOKUP(B16, province_power_capacity_2025_raw[province], province_power_capacity_2025_raw[coal_gasification_pp_mw], "Tidak Ada")</f>
        <v>0</v>
      </c>
      <c r="R16">
        <f>_xlfn.XLOOKUP(B16, province_power_capacity_2025_raw[province], province_power_capacity_2025_raw[combined_cycle_pp_mw], "Tidak Ada")</f>
        <v>177</v>
      </c>
      <c r="S16">
        <f>_xlfn.XLOOKUP(B16, province_power_capacity_2025_raw[province], province_power_capacity_2025_raw[gas_engine_pp_mw], "Tidak Ada")</f>
        <v>61.06</v>
      </c>
    </row>
    <row r="17" spans="1:19" x14ac:dyDescent="0.35">
      <c r="A17">
        <f>IFERROR(INDEX(province_power_capacity_2025_ra!$A$2:$A$38,MATCH(B17, province_power_capacity_2025_raw[province],0)),"Data Tidak Ditemukan")</f>
        <v>65</v>
      </c>
      <c r="B17" t="str">
        <f>province_power_capacity_2025_ra!B17</f>
        <v>Kalimantan Utara</v>
      </c>
      <c r="C17">
        <f>_xlfn.XLOOKUP(B17, 'pivot and cleaned data'!$B$5:$B$43, 'pivot and cleaned data'!$L$5:$L$43, "Tidak Ditemukan")</f>
        <v>208210.06</v>
      </c>
      <c r="D17">
        <f>_xlfn.XLOOKUP(B17, province_power_capacity_2025_raw[province], province_power_capacity_2025_raw[hydro_pp_mw], "Tidak Ada")</f>
        <v>0</v>
      </c>
      <c r="E17">
        <f>_xlfn.XLOOKUP(B17, province_power_capacity_2025_raw[province], province_power_capacity_2025_raw[mini_hydro_pp_mw], "Tidak Ada")</f>
        <v>0.04</v>
      </c>
      <c r="F17">
        <f>_xlfn.XLOOKUP(B17, province_power_capacity_2025_raw[province], province_power_capacity_2025_raw[micro_hydro_pp_mw], "Tidak Ada")</f>
        <v>2.09</v>
      </c>
      <c r="G17">
        <f>_xlfn.XLOOKUP(B17, province_power_capacity_2025_raw[province], province_power_capacity_2025_raw[geothermal_pp_mw], "Tidak Ada")</f>
        <v>0</v>
      </c>
      <c r="H17">
        <f>_xlfn.XLOOKUP(B17, province_power_capacity_2025_raw[province], province_power_capacity_2025_raw[solar_pp_mw], "Tidak Ada")</f>
        <v>3.98</v>
      </c>
      <c r="I17">
        <f>_xlfn.XLOOKUP(B17, province_power_capacity_2025_raw[province], province_power_capacity_2025_raw[wind_pp_mw], "Tidak Ada")</f>
        <v>0</v>
      </c>
      <c r="J17">
        <f>_xlfn.XLOOKUP(B17, province_power_capacity_2025_raw[province], province_power_capacity_2025_raw[biogas_pp_mw], "Tidak Ada")</f>
        <v>0</v>
      </c>
      <c r="K17">
        <f>_xlfn.XLOOKUP(B17, province_power_capacity_2025_raw[province], province_power_capacity_2025_raw[biomass_pp_mw], "Tidak Ada")</f>
        <v>7.31</v>
      </c>
      <c r="L17">
        <f>_xlfn.XLOOKUP(B17, province_power_capacity_2025_raw[province], province_power_capacity_2025_raw[biofuel_pp_mw], "Tidak Ada")</f>
        <v>0</v>
      </c>
      <c r="M17">
        <f>_xlfn.XLOOKUP(B17, province_power_capacity_2025_raw[province], province_power_capacity_2025_raw[waste_pp_mw], "Tidak Ada")</f>
        <v>0</v>
      </c>
      <c r="N17">
        <f>_xlfn.XLOOKUP(B17, province_power_capacity_2025_raw[province], province_power_capacity_2025_raw[diesel_pp_mw], "Tidak Ada")</f>
        <v>143.21</v>
      </c>
      <c r="O17">
        <f>_xlfn.XLOOKUP(B17, province_power_capacity_2025_raw[province], province_power_capacity_2025_raw[steam_pp_mw], "Tidak Ada")</f>
        <v>315</v>
      </c>
      <c r="P17">
        <f>_xlfn.XLOOKUP(B17, province_power_capacity_2025_raw[province], province_power_capacity_2025_raw[gas_pp_mw], "Tidak Ada")</f>
        <v>0</v>
      </c>
      <c r="Q17">
        <f>_xlfn.XLOOKUP(B17, province_power_capacity_2025_raw[province], province_power_capacity_2025_raw[coal_gasification_pp_mw], "Tidak Ada")</f>
        <v>30</v>
      </c>
      <c r="R17">
        <f>_xlfn.XLOOKUP(B17, province_power_capacity_2025_raw[province], province_power_capacity_2025_raw[combined_cycle_pp_mw], "Tidak Ada")</f>
        <v>0</v>
      </c>
      <c r="S17">
        <f>_xlfn.XLOOKUP(B17, province_power_capacity_2025_raw[province], province_power_capacity_2025_raw[gas_engine_pp_mw], "Tidak Ada")</f>
        <v>12</v>
      </c>
    </row>
    <row r="18" spans="1:19" x14ac:dyDescent="0.35">
      <c r="A18">
        <f>IFERROR(INDEX(province_power_capacity_2025_ra!$A$2:$A$38,MATCH(B18, province_power_capacity_2025_raw[province],0)),"Data Tidak Ditemukan")</f>
        <v>19</v>
      </c>
      <c r="B18" t="str">
        <f>province_power_capacity_2025_ra!B18</f>
        <v>Kepulauan Bangka Belitung</v>
      </c>
      <c r="C18">
        <f>_xlfn.XLOOKUP(B18, 'pivot and cleaned data'!$B$5:$B$43, 'pivot and cleaned data'!$L$5:$L$43, "Tidak Ditemukan")</f>
        <v>75322.53</v>
      </c>
      <c r="D18">
        <f>_xlfn.XLOOKUP(B18, province_power_capacity_2025_raw[province], province_power_capacity_2025_raw[hydro_pp_mw], "Tidak Ada")</f>
        <v>0</v>
      </c>
      <c r="E18">
        <f>_xlfn.XLOOKUP(B18, province_power_capacity_2025_raw[province], province_power_capacity_2025_raw[mini_hydro_pp_mw], "Tidak Ada")</f>
        <v>0</v>
      </c>
      <c r="F18">
        <f>_xlfn.XLOOKUP(B18, province_power_capacity_2025_raw[province], province_power_capacity_2025_raw[micro_hydro_pp_mw], "Tidak Ada")</f>
        <v>0</v>
      </c>
      <c r="G18">
        <f>_xlfn.XLOOKUP(B18, province_power_capacity_2025_raw[province], province_power_capacity_2025_raw[geothermal_pp_mw], "Tidak Ada")</f>
        <v>0</v>
      </c>
      <c r="H18">
        <f>_xlfn.XLOOKUP(B18, province_power_capacity_2025_raw[province], province_power_capacity_2025_raw[solar_pp_mw], "Tidak Ada")</f>
        <v>2.85</v>
      </c>
      <c r="I18">
        <f>_xlfn.XLOOKUP(B18, province_power_capacity_2025_raw[province], province_power_capacity_2025_raw[wind_pp_mw], "Tidak Ada")</f>
        <v>0</v>
      </c>
      <c r="J18">
        <f>_xlfn.XLOOKUP(B18, province_power_capacity_2025_raw[province], province_power_capacity_2025_raw[biogas_pp_mw], "Tidak Ada")</f>
        <v>13.39</v>
      </c>
      <c r="K18">
        <f>_xlfn.XLOOKUP(B18, province_power_capacity_2025_raw[province], province_power_capacity_2025_raw[biomass_pp_mw], "Tidak Ada")</f>
        <v>112.72</v>
      </c>
      <c r="L18">
        <f>_xlfn.XLOOKUP(B18, province_power_capacity_2025_raw[province], province_power_capacity_2025_raw[biofuel_pp_mw], "Tidak Ada")</f>
        <v>5</v>
      </c>
      <c r="M18">
        <f>_xlfn.XLOOKUP(B18, province_power_capacity_2025_raw[province], province_power_capacity_2025_raw[waste_pp_mw], "Tidak Ada")</f>
        <v>0.02</v>
      </c>
      <c r="N18">
        <f>_xlfn.XLOOKUP(B18, province_power_capacity_2025_raw[province], province_power_capacity_2025_raw[diesel_pp_mw], "Tidak Ada")</f>
        <v>140.44999999999999</v>
      </c>
      <c r="O18">
        <f>_xlfn.XLOOKUP(B18, province_power_capacity_2025_raw[province], province_power_capacity_2025_raw[steam_pp_mw], "Tidak Ada")</f>
        <v>119.92</v>
      </c>
      <c r="P18">
        <f>_xlfn.XLOOKUP(B18, province_power_capacity_2025_raw[province], province_power_capacity_2025_raw[gas_pp_mw], "Tidak Ada")</f>
        <v>125</v>
      </c>
      <c r="Q18">
        <f>_xlfn.XLOOKUP(B18, province_power_capacity_2025_raw[province], province_power_capacity_2025_raw[coal_gasification_pp_mw], "Tidak Ada")</f>
        <v>0</v>
      </c>
      <c r="R18">
        <f>_xlfn.XLOOKUP(B18, province_power_capacity_2025_raw[province], province_power_capacity_2025_raw[combined_cycle_pp_mw], "Tidak Ada")</f>
        <v>0</v>
      </c>
      <c r="S18">
        <f>_xlfn.XLOOKUP(B18, province_power_capacity_2025_raw[province], province_power_capacity_2025_raw[gas_engine_pp_mw], "Tidak Ada")</f>
        <v>0</v>
      </c>
    </row>
    <row r="19" spans="1:19" x14ac:dyDescent="0.35">
      <c r="A19">
        <f>IFERROR(INDEX(province_power_capacity_2025_ra!$A$2:$A$38,MATCH(B19, province_power_capacity_2025_raw[province],0)),"Data Tidak Ditemukan")</f>
        <v>21</v>
      </c>
      <c r="B19" t="str">
        <f>province_power_capacity_2025_ra!B19</f>
        <v>Kepulauan Riau</v>
      </c>
      <c r="C19">
        <f>_xlfn.XLOOKUP(B19, 'pivot and cleaned data'!$B$5:$B$43, 'pivot and cleaned data'!$L$5:$L$43, "Tidak Ditemukan")</f>
        <v>172458.76</v>
      </c>
      <c r="D19">
        <f>_xlfn.XLOOKUP(B19, province_power_capacity_2025_raw[province], province_power_capacity_2025_raw[hydro_pp_mw], "Tidak Ada")</f>
        <v>0</v>
      </c>
      <c r="E19">
        <f>_xlfn.XLOOKUP(B19, province_power_capacity_2025_raw[province], province_power_capacity_2025_raw[mini_hydro_pp_mw], "Tidak Ada")</f>
        <v>0</v>
      </c>
      <c r="F19">
        <f>_xlfn.XLOOKUP(B19, province_power_capacity_2025_raw[province], province_power_capacity_2025_raw[micro_hydro_pp_mw], "Tidak Ada")</f>
        <v>0</v>
      </c>
      <c r="G19">
        <f>_xlfn.XLOOKUP(B19, province_power_capacity_2025_raw[province], province_power_capacity_2025_raw[geothermal_pp_mw], "Tidak Ada")</f>
        <v>0</v>
      </c>
      <c r="H19">
        <f>_xlfn.XLOOKUP(B19, province_power_capacity_2025_raw[province], province_power_capacity_2025_raw[solar_pp_mw], "Tidak Ada")</f>
        <v>28.09</v>
      </c>
      <c r="I19">
        <f>_xlfn.XLOOKUP(B19, province_power_capacity_2025_raw[province], province_power_capacity_2025_raw[wind_pp_mw], "Tidak Ada")</f>
        <v>0</v>
      </c>
      <c r="J19">
        <f>_xlfn.XLOOKUP(B19, province_power_capacity_2025_raw[province], province_power_capacity_2025_raw[biogas_pp_mw], "Tidak Ada")</f>
        <v>0</v>
      </c>
      <c r="K19">
        <f>_xlfn.XLOOKUP(B19, province_power_capacity_2025_raw[province], province_power_capacity_2025_raw[biomass_pp_mw], "Tidak Ada")</f>
        <v>2</v>
      </c>
      <c r="L19">
        <f>_xlfn.XLOOKUP(B19, province_power_capacity_2025_raw[province], province_power_capacity_2025_raw[biofuel_pp_mw], "Tidak Ada")</f>
        <v>0</v>
      </c>
      <c r="M19">
        <f>_xlfn.XLOOKUP(B19, province_power_capacity_2025_raw[province], province_power_capacity_2025_raw[waste_pp_mw], "Tidak Ada")</f>
        <v>0</v>
      </c>
      <c r="N19">
        <f>_xlfn.XLOOKUP(B19, province_power_capacity_2025_raw[province], province_power_capacity_2025_raw[diesel_pp_mw], "Tidak Ada")</f>
        <v>397.15</v>
      </c>
      <c r="O19">
        <f>_xlfn.XLOOKUP(B19, province_power_capacity_2025_raw[province], province_power_capacity_2025_raw[steam_pp_mw], "Tidak Ada")</f>
        <v>294</v>
      </c>
      <c r="P19">
        <f>_xlfn.XLOOKUP(B19, province_power_capacity_2025_raw[province], province_power_capacity_2025_raw[gas_pp_mw], "Tidak Ada")</f>
        <v>199.76</v>
      </c>
      <c r="Q19">
        <f>_xlfn.XLOOKUP(B19, province_power_capacity_2025_raw[province], province_power_capacity_2025_raw[coal_gasification_pp_mw], "Tidak Ada")</f>
        <v>0</v>
      </c>
      <c r="R19">
        <f>_xlfn.XLOOKUP(B19, province_power_capacity_2025_raw[province], province_power_capacity_2025_raw[combined_cycle_pp_mw], "Tidak Ada")</f>
        <v>209.2</v>
      </c>
      <c r="S19">
        <f>_xlfn.XLOOKUP(B19, province_power_capacity_2025_raw[province], province_power_capacity_2025_raw[gas_engine_pp_mw], "Tidak Ada")</f>
        <v>291.81</v>
      </c>
    </row>
    <row r="20" spans="1:19" x14ac:dyDescent="0.35">
      <c r="A20">
        <f>IFERROR(INDEX(province_power_capacity_2025_ra!$A$2:$A$38,MATCH(B20, province_power_capacity_2025_raw[province],0)),"Data Tidak Ditemukan")</f>
        <v>18</v>
      </c>
      <c r="B20" t="str">
        <f>province_power_capacity_2025_ra!B20</f>
        <v>Lampung</v>
      </c>
      <c r="C20">
        <f>_xlfn.XLOOKUP(B20, 'pivot and cleaned data'!$B$5:$B$43, 'pivot and cleaned data'!$L$5:$L$43, "Tidak Ditemukan")</f>
        <v>55009.07</v>
      </c>
      <c r="D20">
        <f>_xlfn.XLOOKUP(B20, province_power_capacity_2025_raw[province], province_power_capacity_2025_raw[hydro_pp_mw], "Tidak Ada")</f>
        <v>174.6</v>
      </c>
      <c r="E20">
        <f>_xlfn.XLOOKUP(B20, province_power_capacity_2025_raw[province], province_power_capacity_2025_raw[mini_hydro_pp_mw], "Tidak Ada")</f>
        <v>33.76</v>
      </c>
      <c r="F20">
        <f>_xlfn.XLOOKUP(B20, province_power_capacity_2025_raw[province], province_power_capacity_2025_raw[micro_hydro_pp_mw], "Tidak Ada")</f>
        <v>0.11</v>
      </c>
      <c r="G20">
        <f>_xlfn.XLOOKUP(B20, province_power_capacity_2025_raw[province], province_power_capacity_2025_raw[geothermal_pp_mw], "Tidak Ada")</f>
        <v>229</v>
      </c>
      <c r="H20">
        <f>_xlfn.XLOOKUP(B20, province_power_capacity_2025_raw[province], province_power_capacity_2025_raw[solar_pp_mw], "Tidak Ada")</f>
        <v>7.78</v>
      </c>
      <c r="I20">
        <f>_xlfn.XLOOKUP(B20, province_power_capacity_2025_raw[province], province_power_capacity_2025_raw[wind_pp_mw], "Tidak Ada")</f>
        <v>0</v>
      </c>
      <c r="J20">
        <f>_xlfn.XLOOKUP(B20, province_power_capacity_2025_raw[province], province_power_capacity_2025_raw[biogas_pp_mw], "Tidak Ada")</f>
        <v>3</v>
      </c>
      <c r="K20">
        <f>_xlfn.XLOOKUP(B20, province_power_capacity_2025_raw[province], province_power_capacity_2025_raw[biomass_pp_mw], "Tidak Ada")</f>
        <v>67.180000000000007</v>
      </c>
      <c r="L20">
        <f>_xlfn.XLOOKUP(B20, province_power_capacity_2025_raw[province], province_power_capacity_2025_raw[biofuel_pp_mw], "Tidak Ada")</f>
        <v>0</v>
      </c>
      <c r="M20">
        <f>_xlfn.XLOOKUP(B20, province_power_capacity_2025_raw[province], province_power_capacity_2025_raw[waste_pp_mw], "Tidak Ada")</f>
        <v>0</v>
      </c>
      <c r="N20">
        <f>_xlfn.XLOOKUP(B20, province_power_capacity_2025_raw[province], province_power_capacity_2025_raw[diesel_pp_mw], "Tidak Ada")</f>
        <v>89.57</v>
      </c>
      <c r="O20">
        <f>_xlfn.XLOOKUP(B20, province_power_capacity_2025_raw[province], province_power_capacity_2025_raw[steam_pp_mw], "Tidak Ada")</f>
        <v>467</v>
      </c>
      <c r="P20">
        <f>_xlfn.XLOOKUP(B20, province_power_capacity_2025_raw[province], province_power_capacity_2025_raw[gas_pp_mw], "Tidak Ada")</f>
        <v>42.85</v>
      </c>
      <c r="Q20">
        <f>_xlfn.XLOOKUP(B20, province_power_capacity_2025_raw[province], province_power_capacity_2025_raw[coal_gasification_pp_mw], "Tidak Ada")</f>
        <v>0</v>
      </c>
      <c r="R20">
        <f>_xlfn.XLOOKUP(B20, province_power_capacity_2025_raw[province], province_power_capacity_2025_raw[combined_cycle_pp_mw], "Tidak Ada")</f>
        <v>0</v>
      </c>
      <c r="S20">
        <f>_xlfn.XLOOKUP(B20, province_power_capacity_2025_raw[province], province_power_capacity_2025_raw[gas_engine_pp_mw], "Tidak Ada")</f>
        <v>0</v>
      </c>
    </row>
    <row r="21" spans="1:19" x14ac:dyDescent="0.35">
      <c r="A21">
        <f>IFERROR(INDEX(province_power_capacity_2025_ra!$A$2:$A$38,MATCH(B21, province_power_capacity_2025_raw[province],0)),"Data Tidak Ditemukan")</f>
        <v>81</v>
      </c>
      <c r="B21" t="str">
        <f>province_power_capacity_2025_ra!B21</f>
        <v>Maluku</v>
      </c>
      <c r="C21">
        <f>_xlfn.XLOOKUP(B21, 'pivot and cleaned data'!$B$5:$B$43, 'pivot and cleaned data'!$L$5:$L$43, "Tidak Ditemukan")</f>
        <v>33651.870000000003</v>
      </c>
      <c r="D21">
        <f>_xlfn.XLOOKUP(B21, province_power_capacity_2025_raw[province], province_power_capacity_2025_raw[hydro_pp_mw], "Tidak Ada")</f>
        <v>0</v>
      </c>
      <c r="E21">
        <f>_xlfn.XLOOKUP(B21, province_power_capacity_2025_raw[province], province_power_capacity_2025_raw[mini_hydro_pp_mw], "Tidak Ada")</f>
        <v>0</v>
      </c>
      <c r="F21">
        <f>_xlfn.XLOOKUP(B21, province_power_capacity_2025_raw[province], province_power_capacity_2025_raw[micro_hydro_pp_mw], "Tidak Ada")</f>
        <v>0.12</v>
      </c>
      <c r="G21">
        <f>_xlfn.XLOOKUP(B21, province_power_capacity_2025_raw[province], province_power_capacity_2025_raw[geothermal_pp_mw], "Tidak Ada")</f>
        <v>0</v>
      </c>
      <c r="H21">
        <f>_xlfn.XLOOKUP(B21, province_power_capacity_2025_raw[province], province_power_capacity_2025_raw[solar_pp_mw], "Tidak Ada")</f>
        <v>2.96</v>
      </c>
      <c r="I21">
        <f>_xlfn.XLOOKUP(B21, province_power_capacity_2025_raw[province], province_power_capacity_2025_raw[wind_pp_mw], "Tidak Ada")</f>
        <v>0</v>
      </c>
      <c r="J21">
        <f>_xlfn.XLOOKUP(B21, province_power_capacity_2025_raw[province], province_power_capacity_2025_raw[biogas_pp_mw], "Tidak Ada")</f>
        <v>0</v>
      </c>
      <c r="K21">
        <f>_xlfn.XLOOKUP(B21, province_power_capacity_2025_raw[province], province_power_capacity_2025_raw[biomass_pp_mw], "Tidak Ada")</f>
        <v>0</v>
      </c>
      <c r="L21">
        <f>_xlfn.XLOOKUP(B21, province_power_capacity_2025_raw[province], province_power_capacity_2025_raw[biofuel_pp_mw], "Tidak Ada")</f>
        <v>0</v>
      </c>
      <c r="M21">
        <f>_xlfn.XLOOKUP(B21, province_power_capacity_2025_raw[province], province_power_capacity_2025_raw[waste_pp_mw], "Tidak Ada")</f>
        <v>0</v>
      </c>
      <c r="N21">
        <f>_xlfn.XLOOKUP(B21, province_power_capacity_2025_raw[province], province_power_capacity_2025_raw[diesel_pp_mw], "Tidak Ada")</f>
        <v>206.34</v>
      </c>
      <c r="O21">
        <f>_xlfn.XLOOKUP(B21, province_power_capacity_2025_raw[province], province_power_capacity_2025_raw[steam_pp_mw], "Tidak Ada")</f>
        <v>0</v>
      </c>
      <c r="P21">
        <f>_xlfn.XLOOKUP(B21, province_power_capacity_2025_raw[province], province_power_capacity_2025_raw[gas_pp_mw], "Tidak Ada")</f>
        <v>0</v>
      </c>
      <c r="Q21">
        <f>_xlfn.XLOOKUP(B21, province_power_capacity_2025_raw[province], province_power_capacity_2025_raw[coal_gasification_pp_mw], "Tidak Ada")</f>
        <v>0</v>
      </c>
      <c r="R21">
        <f>_xlfn.XLOOKUP(B21, province_power_capacity_2025_raw[province], province_power_capacity_2025_raw[combined_cycle_pp_mw], "Tidak Ada")</f>
        <v>0</v>
      </c>
      <c r="S21">
        <f>_xlfn.XLOOKUP(B21, province_power_capacity_2025_raw[province], province_power_capacity_2025_raw[gas_engine_pp_mw], "Tidak Ada")</f>
        <v>146.79</v>
      </c>
    </row>
    <row r="22" spans="1:19" x14ac:dyDescent="0.35">
      <c r="A22">
        <f>IFERROR(INDEX(province_power_capacity_2025_ra!$A$2:$A$38,MATCH(B22, province_power_capacity_2025_raw[province],0)),"Data Tidak Ditemukan")</f>
        <v>82</v>
      </c>
      <c r="B22" t="str">
        <f>province_power_capacity_2025_ra!B22</f>
        <v>Maluku Utara</v>
      </c>
      <c r="C22">
        <f>_xlfn.XLOOKUP(B22, 'pivot and cleaned data'!$B$5:$B$43, 'pivot and cleaned data'!$L$5:$L$43, "Tidak Ditemukan")</f>
        <v>97261.6</v>
      </c>
      <c r="D22">
        <f>_xlfn.XLOOKUP(B22, province_power_capacity_2025_raw[province], province_power_capacity_2025_raw[hydro_pp_mw], "Tidak Ada")</f>
        <v>0</v>
      </c>
      <c r="E22">
        <f>_xlfn.XLOOKUP(B22, province_power_capacity_2025_raw[province], province_power_capacity_2025_raw[mini_hydro_pp_mw], "Tidak Ada")</f>
        <v>0</v>
      </c>
      <c r="F22">
        <f>_xlfn.XLOOKUP(B22, province_power_capacity_2025_raw[province], province_power_capacity_2025_raw[micro_hydro_pp_mw], "Tidak Ada")</f>
        <v>0.01</v>
      </c>
      <c r="G22">
        <f>_xlfn.XLOOKUP(B22, province_power_capacity_2025_raw[province], province_power_capacity_2025_raw[geothermal_pp_mw], "Tidak Ada")</f>
        <v>0</v>
      </c>
      <c r="H22">
        <f>_xlfn.XLOOKUP(B22, province_power_capacity_2025_raw[province], province_power_capacity_2025_raw[solar_pp_mw], "Tidak Ada")</f>
        <v>6.16</v>
      </c>
      <c r="I22">
        <f>_xlfn.XLOOKUP(B22, province_power_capacity_2025_raw[province], province_power_capacity_2025_raw[wind_pp_mw], "Tidak Ada")</f>
        <v>0</v>
      </c>
      <c r="J22">
        <f>_xlfn.XLOOKUP(B22, province_power_capacity_2025_raw[province], province_power_capacity_2025_raw[biogas_pp_mw], "Tidak Ada")</f>
        <v>0</v>
      </c>
      <c r="K22">
        <f>_xlfn.XLOOKUP(B22, province_power_capacity_2025_raw[province], province_power_capacity_2025_raw[biomass_pp_mw], "Tidak Ada")</f>
        <v>0</v>
      </c>
      <c r="L22">
        <f>_xlfn.XLOOKUP(B22, province_power_capacity_2025_raw[province], province_power_capacity_2025_raw[biofuel_pp_mw], "Tidak Ada")</f>
        <v>0</v>
      </c>
      <c r="M22">
        <f>_xlfn.XLOOKUP(B22, province_power_capacity_2025_raw[province], province_power_capacity_2025_raw[waste_pp_mw], "Tidak Ada")</f>
        <v>0</v>
      </c>
      <c r="N22">
        <f>_xlfn.XLOOKUP(B22, province_power_capacity_2025_raw[province], province_power_capacity_2025_raw[diesel_pp_mw], "Tidak Ada")</f>
        <v>151.72</v>
      </c>
      <c r="O22">
        <f>_xlfn.XLOOKUP(B22, province_power_capacity_2025_raw[province], province_power_capacity_2025_raw[steam_pp_mw], "Tidak Ada")</f>
        <v>6537</v>
      </c>
      <c r="P22">
        <f>_xlfn.XLOOKUP(B22, province_power_capacity_2025_raw[province], province_power_capacity_2025_raw[gas_pp_mw], "Tidak Ada")</f>
        <v>158.5</v>
      </c>
      <c r="Q22">
        <f>_xlfn.XLOOKUP(B22, province_power_capacity_2025_raw[province], province_power_capacity_2025_raw[coal_gasification_pp_mw], "Tidak Ada")</f>
        <v>0</v>
      </c>
      <c r="R22">
        <f>_xlfn.XLOOKUP(B22, province_power_capacity_2025_raw[province], province_power_capacity_2025_raw[combined_cycle_pp_mw], "Tidak Ada")</f>
        <v>0</v>
      </c>
      <c r="S22">
        <f>_xlfn.XLOOKUP(B22, province_power_capacity_2025_raw[province], province_power_capacity_2025_raw[gas_engine_pp_mw], "Tidak Ada")</f>
        <v>38.72</v>
      </c>
    </row>
    <row r="23" spans="1:19" x14ac:dyDescent="0.35">
      <c r="A23">
        <f>IFERROR(INDEX(province_power_capacity_2025_ra!$A$2:$A$38,MATCH(B23, province_power_capacity_2025_raw[province],0)),"Data Tidak Ditemukan")</f>
        <v>52</v>
      </c>
      <c r="B23" t="str">
        <f>province_power_capacity_2025_ra!B23</f>
        <v>Nusa Tenggara Barat</v>
      </c>
      <c r="C23">
        <f>_xlfn.XLOOKUP(B23, 'pivot and cleaned data'!$B$5:$B$43, 'pivot and cleaned data'!$L$5:$L$43, "Tidak Ditemukan")</f>
        <v>33667.410000000003</v>
      </c>
      <c r="D23">
        <f>_xlfn.XLOOKUP(B23, province_power_capacity_2025_raw[province], province_power_capacity_2025_raw[hydro_pp_mw], "Tidak Ada")</f>
        <v>0</v>
      </c>
      <c r="E23">
        <f>_xlfn.XLOOKUP(B23, province_power_capacity_2025_raw[province], province_power_capacity_2025_raw[mini_hydro_pp_mw], "Tidak Ada")</f>
        <v>15.2</v>
      </c>
      <c r="F23">
        <f>_xlfn.XLOOKUP(B23, province_power_capacity_2025_raw[province], province_power_capacity_2025_raw[micro_hydro_pp_mw], "Tidak Ada")</f>
        <v>3.4</v>
      </c>
      <c r="G23">
        <f>_xlfn.XLOOKUP(B23, province_power_capacity_2025_raw[province], province_power_capacity_2025_raw[geothermal_pp_mw], "Tidak Ada")</f>
        <v>0</v>
      </c>
      <c r="H23">
        <f>_xlfn.XLOOKUP(B23, province_power_capacity_2025_raw[province], province_power_capacity_2025_raw[solar_pp_mw], "Tidak Ada")</f>
        <v>50.58</v>
      </c>
      <c r="I23">
        <f>_xlfn.XLOOKUP(B23, province_power_capacity_2025_raw[province], province_power_capacity_2025_raw[wind_pp_mw], "Tidak Ada")</f>
        <v>0</v>
      </c>
      <c r="J23">
        <f>_xlfn.XLOOKUP(B23, province_power_capacity_2025_raw[province], province_power_capacity_2025_raw[biogas_pp_mw], "Tidak Ada")</f>
        <v>0</v>
      </c>
      <c r="K23">
        <f>_xlfn.XLOOKUP(B23, province_power_capacity_2025_raw[province], province_power_capacity_2025_raw[biomass_pp_mw], "Tidak Ada")</f>
        <v>0</v>
      </c>
      <c r="L23">
        <f>_xlfn.XLOOKUP(B23, province_power_capacity_2025_raw[province], province_power_capacity_2025_raw[biofuel_pp_mw], "Tidak Ada")</f>
        <v>0</v>
      </c>
      <c r="M23">
        <f>_xlfn.XLOOKUP(B23, province_power_capacity_2025_raw[province], province_power_capacity_2025_raw[waste_pp_mw], "Tidak Ada")</f>
        <v>0</v>
      </c>
      <c r="N23">
        <f>_xlfn.XLOOKUP(B23, province_power_capacity_2025_raw[province], province_power_capacity_2025_raw[diesel_pp_mw], "Tidak Ada")</f>
        <v>345.97</v>
      </c>
      <c r="O23">
        <f>_xlfn.XLOOKUP(B23, province_power_capacity_2025_raw[province], province_power_capacity_2025_raw[steam_pp_mw], "Tidak Ada")</f>
        <v>418.08</v>
      </c>
      <c r="P23">
        <f>_xlfn.XLOOKUP(B23, province_power_capacity_2025_raw[province], province_power_capacity_2025_raw[gas_pp_mw], "Tidak Ada")</f>
        <v>50</v>
      </c>
      <c r="Q23">
        <f>_xlfn.XLOOKUP(B23, province_power_capacity_2025_raw[province], province_power_capacity_2025_raw[coal_gasification_pp_mw], "Tidak Ada")</f>
        <v>0</v>
      </c>
      <c r="R23">
        <f>_xlfn.XLOOKUP(B23, province_power_capacity_2025_raw[province], province_power_capacity_2025_raw[combined_cycle_pp_mw], "Tidak Ada")</f>
        <v>446.8</v>
      </c>
      <c r="S23">
        <f>_xlfn.XLOOKUP(B23, province_power_capacity_2025_raw[province], province_power_capacity_2025_raw[gas_engine_pp_mw], "Tidak Ada")</f>
        <v>191.55</v>
      </c>
    </row>
    <row r="24" spans="1:19" x14ac:dyDescent="0.35">
      <c r="A24">
        <f>IFERROR(INDEX(province_power_capacity_2025_ra!$A$2:$A$38,MATCH(B24, province_power_capacity_2025_raw[province],0)),"Data Tidak Ditemukan")</f>
        <v>53</v>
      </c>
      <c r="B24" t="str">
        <f>province_power_capacity_2025_ra!B24</f>
        <v>Nusa Tenggara Timur</v>
      </c>
      <c r="C24">
        <f>_xlfn.XLOOKUP(B24, 'pivot and cleaned data'!$B$5:$B$43, 'pivot and cleaned data'!$L$5:$L$43, "Tidak Ditemukan")</f>
        <v>25837.48</v>
      </c>
      <c r="D24">
        <f>_xlfn.XLOOKUP(B24, province_power_capacity_2025_raw[province], province_power_capacity_2025_raw[hydro_pp_mw], "Tidak Ada")</f>
        <v>0</v>
      </c>
      <c r="E24">
        <f>_xlfn.XLOOKUP(B24, province_power_capacity_2025_raw[province], province_power_capacity_2025_raw[mini_hydro_pp_mw], "Tidak Ada")</f>
        <v>4.5999999999999996</v>
      </c>
      <c r="F24">
        <f>_xlfn.XLOOKUP(B24, province_power_capacity_2025_raw[province], province_power_capacity_2025_raw[micro_hydro_pp_mw], "Tidak Ada")</f>
        <v>7.28</v>
      </c>
      <c r="G24">
        <f>_xlfn.XLOOKUP(B24, province_power_capacity_2025_raw[province], province_power_capacity_2025_raw[geothermal_pp_mw], "Tidak Ada")</f>
        <v>24.08</v>
      </c>
      <c r="H24">
        <f>_xlfn.XLOOKUP(B24, province_power_capacity_2025_raw[province], province_power_capacity_2025_raw[solar_pp_mw], "Tidak Ada")</f>
        <v>24.53</v>
      </c>
      <c r="I24">
        <f>_xlfn.XLOOKUP(B24, province_power_capacity_2025_raw[province], province_power_capacity_2025_raw[wind_pp_mw], "Tidak Ada")</f>
        <v>0</v>
      </c>
      <c r="J24">
        <f>_xlfn.XLOOKUP(B24, province_power_capacity_2025_raw[province], province_power_capacity_2025_raw[biogas_pp_mw], "Tidak Ada")</f>
        <v>0</v>
      </c>
      <c r="K24">
        <f>_xlfn.XLOOKUP(B24, province_power_capacity_2025_raw[province], province_power_capacity_2025_raw[biomass_pp_mw], "Tidak Ada")</f>
        <v>0</v>
      </c>
      <c r="L24">
        <f>_xlfn.XLOOKUP(B24, province_power_capacity_2025_raw[province], province_power_capacity_2025_raw[biofuel_pp_mw], "Tidak Ada")</f>
        <v>0</v>
      </c>
      <c r="M24">
        <f>_xlfn.XLOOKUP(B24, province_power_capacity_2025_raw[province], province_power_capacity_2025_raw[waste_pp_mw], "Tidak Ada")</f>
        <v>0</v>
      </c>
      <c r="N24">
        <f>_xlfn.XLOOKUP(B24, province_power_capacity_2025_raw[province], province_power_capacity_2025_raw[diesel_pp_mw], "Tidak Ada")</f>
        <v>222.94</v>
      </c>
      <c r="O24">
        <f>_xlfn.XLOOKUP(B24, province_power_capacity_2025_raw[province], province_power_capacity_2025_raw[steam_pp_mw], "Tidak Ada")</f>
        <v>173</v>
      </c>
      <c r="P24">
        <f>_xlfn.XLOOKUP(B24, province_power_capacity_2025_raw[province], province_power_capacity_2025_raw[gas_pp_mw], "Tidak Ada")</f>
        <v>0</v>
      </c>
      <c r="Q24">
        <f>_xlfn.XLOOKUP(B24, province_power_capacity_2025_raw[province], province_power_capacity_2025_raw[coal_gasification_pp_mw], "Tidak Ada")</f>
        <v>0</v>
      </c>
      <c r="R24">
        <f>_xlfn.XLOOKUP(B24, province_power_capacity_2025_raw[province], province_power_capacity_2025_raw[combined_cycle_pp_mw], "Tidak Ada")</f>
        <v>0</v>
      </c>
      <c r="S24">
        <f>_xlfn.XLOOKUP(B24, province_power_capacity_2025_raw[province], province_power_capacity_2025_raw[gas_engine_pp_mw], "Tidak Ada")</f>
        <v>119.44</v>
      </c>
    </row>
    <row r="25" spans="1:19" x14ac:dyDescent="0.35">
      <c r="A25">
        <f>IFERROR(INDEX(province_power_capacity_2025_ra!$A$2:$A$38,MATCH(B25, province_power_capacity_2025_raw[province],0)),"Data Tidak Ditemukan")</f>
        <v>91</v>
      </c>
      <c r="B25" t="str">
        <f>province_power_capacity_2025_ra!B25</f>
        <v>Papua</v>
      </c>
      <c r="C25">
        <f>_xlfn.XLOOKUP(B25, 'pivot and cleaned data'!$B$5:$B$43, 'pivot and cleaned data'!$L$5:$L$43, "Tidak Ditemukan")</f>
        <v>84305.2</v>
      </c>
      <c r="D25">
        <f>_xlfn.XLOOKUP(B25, province_power_capacity_2025_raw[province], province_power_capacity_2025_raw[hydro_pp_mw], "Tidak Ada")</f>
        <v>20.05</v>
      </c>
      <c r="E25">
        <f>_xlfn.XLOOKUP(B25, province_power_capacity_2025_raw[province], province_power_capacity_2025_raw[mini_hydro_pp_mw], "Tidak Ada")</f>
        <v>0.06</v>
      </c>
      <c r="F25">
        <f>_xlfn.XLOOKUP(B25, province_power_capacity_2025_raw[province], province_power_capacity_2025_raw[micro_hydro_pp_mw], "Tidak Ada")</f>
        <v>3.43</v>
      </c>
      <c r="G25">
        <f>_xlfn.XLOOKUP(B25, province_power_capacity_2025_raw[province], province_power_capacity_2025_raw[geothermal_pp_mw], "Tidak Ada")</f>
        <v>0</v>
      </c>
      <c r="H25">
        <f>_xlfn.XLOOKUP(B25, province_power_capacity_2025_raw[province], province_power_capacity_2025_raw[solar_pp_mw], "Tidak Ada")</f>
        <v>10.75</v>
      </c>
      <c r="I25">
        <f>_xlfn.XLOOKUP(B25, province_power_capacity_2025_raw[province], province_power_capacity_2025_raw[wind_pp_mw], "Tidak Ada")</f>
        <v>0</v>
      </c>
      <c r="J25">
        <f>_xlfn.XLOOKUP(B25, province_power_capacity_2025_raw[province], province_power_capacity_2025_raw[biogas_pp_mw], "Tidak Ada")</f>
        <v>2</v>
      </c>
      <c r="K25">
        <f>_xlfn.XLOOKUP(B25, province_power_capacity_2025_raw[province], province_power_capacity_2025_raw[biomass_pp_mw], "Tidak Ada")</f>
        <v>1.6</v>
      </c>
      <c r="L25">
        <f>_xlfn.XLOOKUP(B25, province_power_capacity_2025_raw[province], province_power_capacity_2025_raw[biofuel_pp_mw], "Tidak Ada")</f>
        <v>0</v>
      </c>
      <c r="M25">
        <f>_xlfn.XLOOKUP(B25, province_power_capacity_2025_raw[province], province_power_capacity_2025_raw[waste_pp_mw], "Tidak Ada")</f>
        <v>0</v>
      </c>
      <c r="N25">
        <f>_xlfn.XLOOKUP(B25, province_power_capacity_2025_raw[province], province_power_capacity_2025_raw[diesel_pp_mw], "Tidak Ada")</f>
        <v>91.5</v>
      </c>
      <c r="O25">
        <f>_xlfn.XLOOKUP(B25, province_power_capacity_2025_raw[province], province_power_capacity_2025_raw[steam_pp_mw], "Tidak Ada")</f>
        <v>24</v>
      </c>
      <c r="P25">
        <f>_xlfn.XLOOKUP(B25, province_power_capacity_2025_raw[province], province_power_capacity_2025_raw[gas_pp_mw], "Tidak Ada")</f>
        <v>0</v>
      </c>
      <c r="Q25">
        <f>_xlfn.XLOOKUP(B25, province_power_capacity_2025_raw[province], province_power_capacity_2025_raw[coal_gasification_pp_mw], "Tidak Ada")</f>
        <v>0</v>
      </c>
      <c r="R25">
        <f>_xlfn.XLOOKUP(B25, province_power_capacity_2025_raw[province], province_power_capacity_2025_raw[combined_cycle_pp_mw], "Tidak Ada")</f>
        <v>0</v>
      </c>
      <c r="S25">
        <f>_xlfn.XLOOKUP(B25, province_power_capacity_2025_raw[province], province_power_capacity_2025_raw[gas_engine_pp_mw], "Tidak Ada")</f>
        <v>260.07</v>
      </c>
    </row>
    <row r="26" spans="1:19" x14ac:dyDescent="0.35">
      <c r="A26">
        <f>IFERROR(INDEX(province_power_capacity_2025_ra!$A$2:$A$38,MATCH(B26, province_power_capacity_2025_raw[province],0)),"Data Tidak Ditemukan")</f>
        <v>92</v>
      </c>
      <c r="B26" t="str">
        <f>province_power_capacity_2025_ra!B26</f>
        <v>Papua Barat</v>
      </c>
      <c r="C26">
        <f>_xlfn.XLOOKUP(B26, 'pivot and cleaned data'!$B$5:$B$43, 'pivot and cleaned data'!$L$5:$L$43, "Tidak Ditemukan")</f>
        <v>139212.56</v>
      </c>
      <c r="D26">
        <f>_xlfn.XLOOKUP(B26, province_power_capacity_2025_raw[province], province_power_capacity_2025_raw[hydro_pp_mw], "Tidak Ada")</f>
        <v>0</v>
      </c>
      <c r="E26">
        <f>_xlfn.XLOOKUP(B26, province_power_capacity_2025_raw[province], province_power_capacity_2025_raw[mini_hydro_pp_mw], "Tidak Ada")</f>
        <v>3.13</v>
      </c>
      <c r="F26">
        <f>_xlfn.XLOOKUP(B26, province_power_capacity_2025_raw[province], province_power_capacity_2025_raw[micro_hydro_pp_mw], "Tidak Ada")</f>
        <v>1.03</v>
      </c>
      <c r="G26">
        <f>_xlfn.XLOOKUP(B26, province_power_capacity_2025_raw[province], province_power_capacity_2025_raw[geothermal_pp_mw], "Tidak Ada")</f>
        <v>0</v>
      </c>
      <c r="H26">
        <f>_xlfn.XLOOKUP(B26, province_power_capacity_2025_raw[province], province_power_capacity_2025_raw[solar_pp_mw], "Tidak Ada")</f>
        <v>12.44</v>
      </c>
      <c r="I26">
        <f>_xlfn.XLOOKUP(B26, province_power_capacity_2025_raw[province], province_power_capacity_2025_raw[wind_pp_mw], "Tidak Ada")</f>
        <v>0</v>
      </c>
      <c r="J26">
        <f>_xlfn.XLOOKUP(B26, province_power_capacity_2025_raw[province], province_power_capacity_2025_raw[biogas_pp_mw], "Tidak Ada")</f>
        <v>0</v>
      </c>
      <c r="K26">
        <f>_xlfn.XLOOKUP(B26, province_power_capacity_2025_raw[province], province_power_capacity_2025_raw[biomass_pp_mw], "Tidak Ada")</f>
        <v>0.55000000000000004</v>
      </c>
      <c r="L26">
        <f>_xlfn.XLOOKUP(B26, province_power_capacity_2025_raw[province], province_power_capacity_2025_raw[biofuel_pp_mw], "Tidak Ada")</f>
        <v>0</v>
      </c>
      <c r="M26">
        <f>_xlfn.XLOOKUP(B26, province_power_capacity_2025_raw[province], province_power_capacity_2025_raw[waste_pp_mw], "Tidak Ada")</f>
        <v>0</v>
      </c>
      <c r="N26">
        <f>_xlfn.XLOOKUP(B26, province_power_capacity_2025_raw[province], province_power_capacity_2025_raw[diesel_pp_mw], "Tidak Ada")</f>
        <v>102.22</v>
      </c>
      <c r="O26">
        <f>_xlfn.XLOOKUP(B26, province_power_capacity_2025_raw[province], province_power_capacity_2025_raw[steam_pp_mw], "Tidak Ada")</f>
        <v>68</v>
      </c>
      <c r="P26">
        <f>_xlfn.XLOOKUP(B26, province_power_capacity_2025_raw[province], province_power_capacity_2025_raw[gas_pp_mw], "Tidak Ada")</f>
        <v>0</v>
      </c>
      <c r="Q26">
        <f>_xlfn.XLOOKUP(B26, province_power_capacity_2025_raw[province], province_power_capacity_2025_raw[coal_gasification_pp_mw], "Tidak Ada")</f>
        <v>0</v>
      </c>
      <c r="R26">
        <f>_xlfn.XLOOKUP(B26, province_power_capacity_2025_raw[province], province_power_capacity_2025_raw[combined_cycle_pp_mw], "Tidak Ada")</f>
        <v>0</v>
      </c>
      <c r="S26">
        <f>_xlfn.XLOOKUP(B26, province_power_capacity_2025_raw[province], province_power_capacity_2025_raw[gas_engine_pp_mw], "Tidak Ada")</f>
        <v>23.56</v>
      </c>
    </row>
    <row r="27" spans="1:19" x14ac:dyDescent="0.35">
      <c r="A27">
        <f>IFERROR(INDEX(province_power_capacity_2025_ra!$A$2:$A$38,MATCH(B27, province_power_capacity_2025_raw[province],0)),"Data Tidak Ditemukan")</f>
        <v>96</v>
      </c>
      <c r="B27" t="str">
        <f>province_power_capacity_2025_ra!B27</f>
        <v>Papua Barat Daya</v>
      </c>
      <c r="C27">
        <f>_xlfn.XLOOKUP(B27, 'pivot and cleaned data'!$B$5:$B$43, 'pivot and cleaned data'!$L$5:$L$43, "Tidak Ditemukan")</f>
        <v>61624.05</v>
      </c>
      <c r="D27">
        <f>_xlfn.XLOOKUP(B27, province_power_capacity_2025_raw[province], province_power_capacity_2025_raw[hydro_pp_mw], "Tidak Ada")</f>
        <v>0</v>
      </c>
      <c r="E27">
        <f>_xlfn.XLOOKUP(B27, province_power_capacity_2025_raw[province], province_power_capacity_2025_raw[mini_hydro_pp_mw], "Tidak Ada")</f>
        <v>3.6</v>
      </c>
      <c r="F27">
        <f>_xlfn.XLOOKUP(B27, province_power_capacity_2025_raw[province], province_power_capacity_2025_raw[micro_hydro_pp_mw], "Tidak Ada")</f>
        <v>0.04</v>
      </c>
      <c r="G27">
        <f>_xlfn.XLOOKUP(B27, province_power_capacity_2025_raw[province], province_power_capacity_2025_raw[geothermal_pp_mw], "Tidak Ada")</f>
        <v>0</v>
      </c>
      <c r="H27">
        <f>_xlfn.XLOOKUP(B27, province_power_capacity_2025_raw[province], province_power_capacity_2025_raw[solar_pp_mw], "Tidak Ada")</f>
        <v>2.37</v>
      </c>
      <c r="I27">
        <f>_xlfn.XLOOKUP(B27, province_power_capacity_2025_raw[province], province_power_capacity_2025_raw[wind_pp_mw], "Tidak Ada")</f>
        <v>0</v>
      </c>
      <c r="J27">
        <f>_xlfn.XLOOKUP(B27, province_power_capacity_2025_raw[province], province_power_capacity_2025_raw[biogas_pp_mw], "Tidak Ada")</f>
        <v>0</v>
      </c>
      <c r="K27">
        <f>_xlfn.XLOOKUP(B27, province_power_capacity_2025_raw[province], province_power_capacity_2025_raw[biomass_pp_mw], "Tidak Ada")</f>
        <v>2.5</v>
      </c>
      <c r="L27">
        <f>_xlfn.XLOOKUP(B27, province_power_capacity_2025_raw[province], province_power_capacity_2025_raw[biofuel_pp_mw], "Tidak Ada")</f>
        <v>0</v>
      </c>
      <c r="M27">
        <f>_xlfn.XLOOKUP(B27, province_power_capacity_2025_raw[province], province_power_capacity_2025_raw[waste_pp_mw], "Tidak Ada")</f>
        <v>0</v>
      </c>
      <c r="N27">
        <f>_xlfn.XLOOKUP(B27, province_power_capacity_2025_raw[province], province_power_capacity_2025_raw[diesel_pp_mw], "Tidak Ada")</f>
        <v>53.36</v>
      </c>
      <c r="O27">
        <f>_xlfn.XLOOKUP(B27, province_power_capacity_2025_raw[province], province_power_capacity_2025_raw[steam_pp_mw], "Tidak Ada")</f>
        <v>0</v>
      </c>
      <c r="P27">
        <f>_xlfn.XLOOKUP(B27, province_power_capacity_2025_raw[province], province_power_capacity_2025_raw[gas_pp_mw], "Tidak Ada")</f>
        <v>0</v>
      </c>
      <c r="Q27">
        <f>_xlfn.XLOOKUP(B27, province_power_capacity_2025_raw[province], province_power_capacity_2025_raw[coal_gasification_pp_mw], "Tidak Ada")</f>
        <v>0</v>
      </c>
      <c r="R27">
        <f>_xlfn.XLOOKUP(B27, province_power_capacity_2025_raw[province], province_power_capacity_2025_raw[combined_cycle_pp_mw], "Tidak Ada")</f>
        <v>0</v>
      </c>
      <c r="S27">
        <f>_xlfn.XLOOKUP(B27, province_power_capacity_2025_raw[province], province_power_capacity_2025_raw[gas_engine_pp_mw], "Tidak Ada")</f>
        <v>85.9</v>
      </c>
    </row>
    <row r="28" spans="1:19" x14ac:dyDescent="0.35">
      <c r="A28">
        <f>IFERROR(INDEX(province_power_capacity_2025_ra!$A$2:$A$38,MATCH(B28, province_power_capacity_2025_raw[province],0)),"Data Tidak Ditemukan")</f>
        <v>95</v>
      </c>
      <c r="B28" t="str">
        <f>province_power_capacity_2025_ra!B28</f>
        <v>Papua Pegunungan</v>
      </c>
      <c r="C28">
        <f>_xlfn.XLOOKUP(B28, 'pivot and cleaned data'!$B$5:$B$43, 'pivot and cleaned data'!$L$5:$L$43, "Tidak Ditemukan")</f>
        <v>19111.439999999999</v>
      </c>
      <c r="D28">
        <f>_xlfn.XLOOKUP(B28, province_power_capacity_2025_raw[province], province_power_capacity_2025_raw[hydro_pp_mw], "Tidak Ada")</f>
        <v>0</v>
      </c>
      <c r="E28">
        <f>_xlfn.XLOOKUP(B28, province_power_capacity_2025_raw[province], province_power_capacity_2025_raw[mini_hydro_pp_mw], "Tidak Ada")</f>
        <v>0</v>
      </c>
      <c r="F28">
        <f>_xlfn.XLOOKUP(B28, province_power_capacity_2025_raw[province], province_power_capacity_2025_raw[micro_hydro_pp_mw], "Tidak Ada")</f>
        <v>4.66</v>
      </c>
      <c r="G28">
        <f>_xlfn.XLOOKUP(B28, province_power_capacity_2025_raw[province], province_power_capacity_2025_raw[geothermal_pp_mw], "Tidak Ada")</f>
        <v>0</v>
      </c>
      <c r="H28">
        <f>_xlfn.XLOOKUP(B28, province_power_capacity_2025_raw[province], province_power_capacity_2025_raw[solar_pp_mw], "Tidak Ada")</f>
        <v>0.66</v>
      </c>
      <c r="I28">
        <f>_xlfn.XLOOKUP(B28, province_power_capacity_2025_raw[province], province_power_capacity_2025_raw[wind_pp_mw], "Tidak Ada")</f>
        <v>0</v>
      </c>
      <c r="J28">
        <f>_xlfn.XLOOKUP(B28, province_power_capacity_2025_raw[province], province_power_capacity_2025_raw[biogas_pp_mw], "Tidak Ada")</f>
        <v>0</v>
      </c>
      <c r="K28">
        <f>_xlfn.XLOOKUP(B28, province_power_capacity_2025_raw[province], province_power_capacity_2025_raw[biomass_pp_mw], "Tidak Ada")</f>
        <v>0</v>
      </c>
      <c r="L28">
        <f>_xlfn.XLOOKUP(B28, province_power_capacity_2025_raw[province], province_power_capacity_2025_raw[biofuel_pp_mw], "Tidak Ada")</f>
        <v>0</v>
      </c>
      <c r="M28">
        <f>_xlfn.XLOOKUP(B28, province_power_capacity_2025_raw[province], province_power_capacity_2025_raw[waste_pp_mw], "Tidak Ada")</f>
        <v>0</v>
      </c>
      <c r="N28">
        <f>_xlfn.XLOOKUP(B28, province_power_capacity_2025_raw[province], province_power_capacity_2025_raw[diesel_pp_mw], "Tidak Ada")</f>
        <v>14.02</v>
      </c>
      <c r="O28">
        <f>_xlfn.XLOOKUP(B28, province_power_capacity_2025_raw[province], province_power_capacity_2025_raw[steam_pp_mw], "Tidak Ada")</f>
        <v>0</v>
      </c>
      <c r="P28">
        <f>_xlfn.XLOOKUP(B28, province_power_capacity_2025_raw[province], province_power_capacity_2025_raw[gas_pp_mw], "Tidak Ada")</f>
        <v>0</v>
      </c>
      <c r="Q28">
        <f>_xlfn.XLOOKUP(B28, province_power_capacity_2025_raw[province], province_power_capacity_2025_raw[coal_gasification_pp_mw], "Tidak Ada")</f>
        <v>0</v>
      </c>
      <c r="R28">
        <f>_xlfn.XLOOKUP(B28, province_power_capacity_2025_raw[province], province_power_capacity_2025_raw[combined_cycle_pp_mw], "Tidak Ada")</f>
        <v>0</v>
      </c>
      <c r="S28">
        <f>_xlfn.XLOOKUP(B28, province_power_capacity_2025_raw[province], province_power_capacity_2025_raw[gas_engine_pp_mw], "Tidak Ada")</f>
        <v>0</v>
      </c>
    </row>
    <row r="29" spans="1:19" x14ac:dyDescent="0.35">
      <c r="A29">
        <f>IFERROR(INDEX(province_power_capacity_2025_ra!$A$2:$A$38,MATCH(B29, province_power_capacity_2025_raw[province],0)),"Data Tidak Ditemukan")</f>
        <v>93</v>
      </c>
      <c r="B29" t="str">
        <f>province_power_capacity_2025_ra!B29</f>
        <v>Papua Selatan</v>
      </c>
      <c r="C29">
        <f>_xlfn.XLOOKUP(B29, 'pivot and cleaned data'!$B$5:$B$43, 'pivot and cleaned data'!$L$5:$L$43, "Tidak Ditemukan")</f>
        <v>64928.23</v>
      </c>
      <c r="D29">
        <f>_xlfn.XLOOKUP(B29, province_power_capacity_2025_raw[province], province_power_capacity_2025_raw[hydro_pp_mw], "Tidak Ada")</f>
        <v>0</v>
      </c>
      <c r="E29">
        <f>_xlfn.XLOOKUP(B29, province_power_capacity_2025_raw[province], province_power_capacity_2025_raw[mini_hydro_pp_mw], "Tidak Ada")</f>
        <v>0</v>
      </c>
      <c r="F29">
        <f>_xlfn.XLOOKUP(B29, province_power_capacity_2025_raw[province], province_power_capacity_2025_raw[micro_hydro_pp_mw], "Tidak Ada")</f>
        <v>0</v>
      </c>
      <c r="G29">
        <f>_xlfn.XLOOKUP(B29, province_power_capacity_2025_raw[province], province_power_capacity_2025_raw[geothermal_pp_mw], "Tidak Ada")</f>
        <v>0</v>
      </c>
      <c r="H29">
        <f>_xlfn.XLOOKUP(B29, province_power_capacity_2025_raw[province], province_power_capacity_2025_raw[solar_pp_mw], "Tidak Ada")</f>
        <v>4.66</v>
      </c>
      <c r="I29">
        <f>_xlfn.XLOOKUP(B29, province_power_capacity_2025_raw[province], province_power_capacity_2025_raw[wind_pp_mw], "Tidak Ada")</f>
        <v>0</v>
      </c>
      <c r="J29">
        <f>_xlfn.XLOOKUP(B29, province_power_capacity_2025_raw[province], province_power_capacity_2025_raw[biogas_pp_mw], "Tidak Ada")</f>
        <v>0</v>
      </c>
      <c r="K29">
        <f>_xlfn.XLOOKUP(B29, province_power_capacity_2025_raw[province], province_power_capacity_2025_raw[biomass_pp_mw], "Tidak Ada")</f>
        <v>3.5</v>
      </c>
      <c r="L29">
        <f>_xlfn.XLOOKUP(B29, province_power_capacity_2025_raw[province], province_power_capacity_2025_raw[biofuel_pp_mw], "Tidak Ada")</f>
        <v>0</v>
      </c>
      <c r="M29">
        <f>_xlfn.XLOOKUP(B29, province_power_capacity_2025_raw[province], province_power_capacity_2025_raw[waste_pp_mw], "Tidak Ada")</f>
        <v>0</v>
      </c>
      <c r="N29">
        <f>_xlfn.XLOOKUP(B29, province_power_capacity_2025_raw[province], province_power_capacity_2025_raw[diesel_pp_mw], "Tidak Ada")</f>
        <v>18.38</v>
      </c>
      <c r="O29">
        <f>_xlfn.XLOOKUP(B29, province_power_capacity_2025_raw[province], province_power_capacity_2025_raw[steam_pp_mw], "Tidak Ada")</f>
        <v>0</v>
      </c>
      <c r="P29">
        <f>_xlfn.XLOOKUP(B29, province_power_capacity_2025_raw[province], province_power_capacity_2025_raw[gas_pp_mw], "Tidak Ada")</f>
        <v>0</v>
      </c>
      <c r="Q29">
        <f>_xlfn.XLOOKUP(B29, province_power_capacity_2025_raw[province], province_power_capacity_2025_raw[coal_gasification_pp_mw], "Tidak Ada")</f>
        <v>0</v>
      </c>
      <c r="R29">
        <f>_xlfn.XLOOKUP(B29, province_power_capacity_2025_raw[province], province_power_capacity_2025_raw[combined_cycle_pp_mw], "Tidak Ada")</f>
        <v>0</v>
      </c>
      <c r="S29">
        <f>_xlfn.XLOOKUP(B29, province_power_capacity_2025_raw[province], province_power_capacity_2025_raw[gas_engine_pp_mw], "Tidak Ada")</f>
        <v>44.78</v>
      </c>
    </row>
    <row r="30" spans="1:19" x14ac:dyDescent="0.35">
      <c r="A30">
        <f>IFERROR(INDEX(province_power_capacity_2025_ra!$A$2:$A$38,MATCH(B30, province_power_capacity_2025_raw[province],0)),"Data Tidak Ditemukan")</f>
        <v>94</v>
      </c>
      <c r="B30" t="str">
        <f>province_power_capacity_2025_ra!B30</f>
        <v>Papua Tengah</v>
      </c>
      <c r="C30">
        <f>_xlfn.XLOOKUP(B30, 'pivot and cleaned data'!$B$5:$B$43, 'pivot and cleaned data'!$L$5:$L$43, "Tidak Ditemukan")</f>
        <v>107565.94</v>
      </c>
      <c r="D30">
        <f>_xlfn.XLOOKUP(B30, province_power_capacity_2025_raw[province], province_power_capacity_2025_raw[hydro_pp_mw], "Tidak Ada")</f>
        <v>0</v>
      </c>
      <c r="E30">
        <f>_xlfn.XLOOKUP(B30, province_power_capacity_2025_raw[province], province_power_capacity_2025_raw[mini_hydro_pp_mw], "Tidak Ada")</f>
        <v>0</v>
      </c>
      <c r="F30">
        <f>_xlfn.XLOOKUP(B30, province_power_capacity_2025_raw[province], province_power_capacity_2025_raw[micro_hydro_pp_mw], "Tidak Ada")</f>
        <v>0</v>
      </c>
      <c r="G30">
        <f>_xlfn.XLOOKUP(B30, province_power_capacity_2025_raw[province], province_power_capacity_2025_raw[geothermal_pp_mw], "Tidak Ada")</f>
        <v>0</v>
      </c>
      <c r="H30">
        <f>_xlfn.XLOOKUP(B30, province_power_capacity_2025_raw[province], province_power_capacity_2025_raw[solar_pp_mw], "Tidak Ada")</f>
        <v>2.16</v>
      </c>
      <c r="I30">
        <f>_xlfn.XLOOKUP(B30, province_power_capacity_2025_raw[province], province_power_capacity_2025_raw[wind_pp_mw], "Tidak Ada")</f>
        <v>0</v>
      </c>
      <c r="J30">
        <f>_xlfn.XLOOKUP(B30, province_power_capacity_2025_raw[province], province_power_capacity_2025_raw[biogas_pp_mw], "Tidak Ada")</f>
        <v>0</v>
      </c>
      <c r="K30">
        <f>_xlfn.XLOOKUP(B30, province_power_capacity_2025_raw[province], province_power_capacity_2025_raw[biomass_pp_mw], "Tidak Ada")</f>
        <v>0</v>
      </c>
      <c r="L30">
        <f>_xlfn.XLOOKUP(B30, province_power_capacity_2025_raw[province], province_power_capacity_2025_raw[biofuel_pp_mw], "Tidak Ada")</f>
        <v>0</v>
      </c>
      <c r="M30">
        <f>_xlfn.XLOOKUP(B30, province_power_capacity_2025_raw[province], province_power_capacity_2025_raw[waste_pp_mw], "Tidak Ada")</f>
        <v>0</v>
      </c>
      <c r="N30">
        <f>_xlfn.XLOOKUP(B30, province_power_capacity_2025_raw[province], province_power_capacity_2025_raw[diesel_pp_mw], "Tidak Ada")</f>
        <v>225.53</v>
      </c>
      <c r="O30">
        <f>_xlfn.XLOOKUP(B30, province_power_capacity_2025_raw[province], province_power_capacity_2025_raw[steam_pp_mw], "Tidak Ada")</f>
        <v>414</v>
      </c>
      <c r="P30">
        <f>_xlfn.XLOOKUP(B30, province_power_capacity_2025_raw[province], province_power_capacity_2025_raw[gas_pp_mw], "Tidak Ada")</f>
        <v>0</v>
      </c>
      <c r="Q30">
        <f>_xlfn.XLOOKUP(B30, province_power_capacity_2025_raw[province], province_power_capacity_2025_raw[coal_gasification_pp_mw], "Tidak Ada")</f>
        <v>0</v>
      </c>
      <c r="R30">
        <f>_xlfn.XLOOKUP(B30, province_power_capacity_2025_raw[province], province_power_capacity_2025_raw[combined_cycle_pp_mw], "Tidak Ada")</f>
        <v>0</v>
      </c>
      <c r="S30">
        <f>_xlfn.XLOOKUP(B30, province_power_capacity_2025_raw[province], province_power_capacity_2025_raw[gas_engine_pp_mw], "Tidak Ada")</f>
        <v>42.96</v>
      </c>
    </row>
    <row r="31" spans="1:19" x14ac:dyDescent="0.35">
      <c r="A31">
        <f>IFERROR(INDEX(province_power_capacity_2025_ra!$A$2:$A$38,MATCH(B31, province_power_capacity_2025_raw[province],0)),"Data Tidak Ditemukan")</f>
        <v>14</v>
      </c>
      <c r="B31" t="str">
        <f>province_power_capacity_2025_ra!B31</f>
        <v>Riau</v>
      </c>
      <c r="C31">
        <f>_xlfn.XLOOKUP(B31, 'pivot and cleaned data'!$B$5:$B$43, 'pivot and cleaned data'!$L$5:$L$43, "Tidak Ditemukan")</f>
        <v>176384.66</v>
      </c>
      <c r="D31">
        <f>_xlfn.XLOOKUP(B31, province_power_capacity_2025_raw[province], province_power_capacity_2025_raw[hydro_pp_mw], "Tidak Ada")</f>
        <v>114</v>
      </c>
      <c r="E31">
        <f>_xlfn.XLOOKUP(B31, province_power_capacity_2025_raw[province], province_power_capacity_2025_raw[mini_hydro_pp_mw], "Tidak Ada")</f>
        <v>0</v>
      </c>
      <c r="F31">
        <f>_xlfn.XLOOKUP(B31, province_power_capacity_2025_raw[province], province_power_capacity_2025_raw[micro_hydro_pp_mw], "Tidak Ada")</f>
        <v>0.06</v>
      </c>
      <c r="G31">
        <f>_xlfn.XLOOKUP(B31, province_power_capacity_2025_raw[province], province_power_capacity_2025_raw[geothermal_pp_mw], "Tidak Ada")</f>
        <v>0</v>
      </c>
      <c r="H31">
        <f>_xlfn.XLOOKUP(B31, province_power_capacity_2025_raw[province], province_power_capacity_2025_raw[solar_pp_mw], "Tidak Ada")</f>
        <v>46.71</v>
      </c>
      <c r="I31">
        <f>_xlfn.XLOOKUP(B31, province_power_capacity_2025_raw[province], province_power_capacity_2025_raw[wind_pp_mw], "Tidak Ada")</f>
        <v>0</v>
      </c>
      <c r="J31">
        <f>_xlfn.XLOOKUP(B31, province_power_capacity_2025_raw[province], province_power_capacity_2025_raw[biogas_pp_mw], "Tidak Ada")</f>
        <v>41.26</v>
      </c>
      <c r="K31">
        <f>_xlfn.XLOOKUP(B31, province_power_capacity_2025_raw[province], province_power_capacity_2025_raw[biomass_pp_mw], "Tidak Ada")</f>
        <v>854.35</v>
      </c>
      <c r="L31">
        <f>_xlfn.XLOOKUP(B31, province_power_capacity_2025_raw[province], province_power_capacity_2025_raw[biofuel_pp_mw], "Tidak Ada")</f>
        <v>0</v>
      </c>
      <c r="M31">
        <f>_xlfn.XLOOKUP(B31, province_power_capacity_2025_raw[province], province_power_capacity_2025_raw[waste_pp_mw], "Tidak Ada")</f>
        <v>0</v>
      </c>
      <c r="N31">
        <f>_xlfn.XLOOKUP(B31, province_power_capacity_2025_raw[province], province_power_capacity_2025_raw[diesel_pp_mw], "Tidak Ada")</f>
        <v>195.98</v>
      </c>
      <c r="O31">
        <f>_xlfn.XLOOKUP(B31, province_power_capacity_2025_raw[province], province_power_capacity_2025_raw[steam_pp_mw], "Tidak Ada")</f>
        <v>1504.56</v>
      </c>
      <c r="P31">
        <f>_xlfn.XLOOKUP(B31, province_power_capacity_2025_raw[province], province_power_capacity_2025_raw[gas_pp_mw], "Tidak Ada")</f>
        <v>368.2</v>
      </c>
      <c r="Q31">
        <f>_xlfn.XLOOKUP(B31, province_power_capacity_2025_raw[province], province_power_capacity_2025_raw[coal_gasification_pp_mw], "Tidak Ada")</f>
        <v>0</v>
      </c>
      <c r="R31">
        <f>_xlfn.XLOOKUP(B31, province_power_capacity_2025_raw[province], province_power_capacity_2025_raw[combined_cycle_pp_mw], "Tidak Ada")</f>
        <v>305</v>
      </c>
      <c r="S31">
        <f>_xlfn.XLOOKUP(B31, province_power_capacity_2025_raw[province], province_power_capacity_2025_raw[gas_engine_pp_mw], "Tidak Ada")</f>
        <v>130.13</v>
      </c>
    </row>
    <row r="32" spans="1:19" x14ac:dyDescent="0.35">
      <c r="A32">
        <f>IFERROR(INDEX(province_power_capacity_2025_ra!$A$2:$A$38,MATCH(B32, province_power_capacity_2025_raw[province],0)),"Data Tidak Ditemukan")</f>
        <v>76</v>
      </c>
      <c r="B32" t="str">
        <f>province_power_capacity_2025_ra!B32</f>
        <v>Sulawesi Barat</v>
      </c>
      <c r="C32">
        <f>_xlfn.XLOOKUP(B32, 'pivot and cleaned data'!$B$5:$B$43, 'pivot and cleaned data'!$L$5:$L$43, "Tidak Ditemukan")</f>
        <v>46653.64</v>
      </c>
      <c r="D32">
        <f>_xlfn.XLOOKUP(B32, province_power_capacity_2025_raw[province], province_power_capacity_2025_raw[hydro_pp_mw], "Tidak Ada")</f>
        <v>0</v>
      </c>
      <c r="E32">
        <f>_xlfn.XLOOKUP(B32, province_power_capacity_2025_raw[province], province_power_capacity_2025_raw[mini_hydro_pp_mw], "Tidak Ada")</f>
        <v>6</v>
      </c>
      <c r="F32">
        <f>_xlfn.XLOOKUP(B32, province_power_capacity_2025_raw[province], province_power_capacity_2025_raw[micro_hydro_pp_mw], "Tidak Ada")</f>
        <v>2.33</v>
      </c>
      <c r="G32">
        <f>_xlfn.XLOOKUP(B32, province_power_capacity_2025_raw[province], province_power_capacity_2025_raw[geothermal_pp_mw], "Tidak Ada")</f>
        <v>0</v>
      </c>
      <c r="H32">
        <f>_xlfn.XLOOKUP(B32, province_power_capacity_2025_raw[province], province_power_capacity_2025_raw[solar_pp_mw], "Tidak Ada")</f>
        <v>1.36</v>
      </c>
      <c r="I32">
        <f>_xlfn.XLOOKUP(B32, province_power_capacity_2025_raw[province], province_power_capacity_2025_raw[wind_pp_mw], "Tidak Ada")</f>
        <v>0</v>
      </c>
      <c r="J32">
        <f>_xlfn.XLOOKUP(B32, province_power_capacity_2025_raw[province], province_power_capacity_2025_raw[biogas_pp_mw], "Tidak Ada")</f>
        <v>0</v>
      </c>
      <c r="K32">
        <f>_xlfn.XLOOKUP(B32, province_power_capacity_2025_raw[province], province_power_capacity_2025_raw[biomass_pp_mw], "Tidak Ada")</f>
        <v>20.2</v>
      </c>
      <c r="L32">
        <f>_xlfn.XLOOKUP(B32, province_power_capacity_2025_raw[province], province_power_capacity_2025_raw[biofuel_pp_mw], "Tidak Ada")</f>
        <v>0</v>
      </c>
      <c r="M32">
        <f>_xlfn.XLOOKUP(B32, province_power_capacity_2025_raw[province], province_power_capacity_2025_raw[waste_pp_mw], "Tidak Ada")</f>
        <v>0</v>
      </c>
      <c r="N32">
        <f>_xlfn.XLOOKUP(B32, province_power_capacity_2025_raw[province], province_power_capacity_2025_raw[diesel_pp_mw], "Tidak Ada")</f>
        <v>1.77</v>
      </c>
      <c r="O32">
        <f>_xlfn.XLOOKUP(B32, province_power_capacity_2025_raw[province], province_power_capacity_2025_raw[steam_pp_mw], "Tidak Ada")</f>
        <v>50</v>
      </c>
      <c r="P32">
        <f>_xlfn.XLOOKUP(B32, province_power_capacity_2025_raw[province], province_power_capacity_2025_raw[gas_pp_mw], "Tidak Ada")</f>
        <v>0</v>
      </c>
      <c r="Q32">
        <f>_xlfn.XLOOKUP(B32, province_power_capacity_2025_raw[province], province_power_capacity_2025_raw[coal_gasification_pp_mw], "Tidak Ada")</f>
        <v>0</v>
      </c>
      <c r="R32">
        <f>_xlfn.XLOOKUP(B32, province_power_capacity_2025_raw[province], province_power_capacity_2025_raw[combined_cycle_pp_mw], "Tidak Ada")</f>
        <v>0</v>
      </c>
      <c r="S32">
        <f>_xlfn.XLOOKUP(B32, province_power_capacity_2025_raw[province], province_power_capacity_2025_raw[gas_engine_pp_mw], "Tidak Ada")</f>
        <v>0</v>
      </c>
    </row>
    <row r="33" spans="1:19" x14ac:dyDescent="0.35">
      <c r="A33">
        <f>IFERROR(INDEX(province_power_capacity_2025_ra!$A$2:$A$38,MATCH(B33, province_power_capacity_2025_raw[province],0)),"Data Tidak Ditemukan")</f>
        <v>73</v>
      </c>
      <c r="B33" t="str">
        <f>province_power_capacity_2025_ra!B33</f>
        <v>Sulawesi Selatan</v>
      </c>
      <c r="C33">
        <f>_xlfn.XLOOKUP(B33, 'pivot and cleaned data'!$B$5:$B$43, 'pivot and cleaned data'!$L$5:$L$43, "Tidak Ditemukan")</f>
        <v>78748</v>
      </c>
      <c r="D33">
        <f>_xlfn.XLOOKUP(B33, province_power_capacity_2025_raw[province], province_power_capacity_2025_raw[hydro_pp_mw], "Tidak Ada")</f>
        <v>737</v>
      </c>
      <c r="E33">
        <f>_xlfn.XLOOKUP(B33, province_power_capacity_2025_raw[province], province_power_capacity_2025_raw[mini_hydro_pp_mw], "Tidak Ada")</f>
        <v>89.5</v>
      </c>
      <c r="F33">
        <f>_xlfn.XLOOKUP(B33, province_power_capacity_2025_raw[province], province_power_capacity_2025_raw[micro_hydro_pp_mw], "Tidak Ada")</f>
        <v>3.36</v>
      </c>
      <c r="G33">
        <f>_xlfn.XLOOKUP(B33, province_power_capacity_2025_raw[province], province_power_capacity_2025_raw[geothermal_pp_mw], "Tidak Ada")</f>
        <v>0</v>
      </c>
      <c r="H33">
        <f>_xlfn.XLOOKUP(B33, province_power_capacity_2025_raw[province], province_power_capacity_2025_raw[solar_pp_mw], "Tidak Ada")</f>
        <v>14.86</v>
      </c>
      <c r="I33">
        <f>_xlfn.XLOOKUP(B33, province_power_capacity_2025_raw[province], province_power_capacity_2025_raw[wind_pp_mw], "Tidak Ada")</f>
        <v>150.75</v>
      </c>
      <c r="J33">
        <f>_xlfn.XLOOKUP(B33, province_power_capacity_2025_raw[province], province_power_capacity_2025_raw[biogas_pp_mw], "Tidak Ada")</f>
        <v>0</v>
      </c>
      <c r="K33">
        <f>_xlfn.XLOOKUP(B33, province_power_capacity_2025_raw[province], province_power_capacity_2025_raw[biomass_pp_mw], "Tidak Ada")</f>
        <v>19</v>
      </c>
      <c r="L33">
        <f>_xlfn.XLOOKUP(B33, province_power_capacity_2025_raw[province], province_power_capacity_2025_raw[biofuel_pp_mw], "Tidak Ada")</f>
        <v>0</v>
      </c>
      <c r="M33">
        <f>_xlfn.XLOOKUP(B33, province_power_capacity_2025_raw[province], province_power_capacity_2025_raw[waste_pp_mw], "Tidak Ada")</f>
        <v>0</v>
      </c>
      <c r="N33">
        <f>_xlfn.XLOOKUP(B33, province_power_capacity_2025_raw[province], province_power_capacity_2025_raw[diesel_pp_mw], "Tidak Ada")</f>
        <v>224.87</v>
      </c>
      <c r="O33">
        <f>_xlfn.XLOOKUP(B33, province_power_capacity_2025_raw[province], province_power_capacity_2025_raw[steam_pp_mw], "Tidak Ada")</f>
        <v>990</v>
      </c>
      <c r="P33">
        <f>_xlfn.XLOOKUP(B33, province_power_capacity_2025_raw[province], province_power_capacity_2025_raw[gas_pp_mw], "Tidak Ada")</f>
        <v>432.99</v>
      </c>
      <c r="Q33">
        <f>_xlfn.XLOOKUP(B33, province_power_capacity_2025_raw[province], province_power_capacity_2025_raw[coal_gasification_pp_mw], "Tidak Ada")</f>
        <v>0</v>
      </c>
      <c r="R33">
        <f>_xlfn.XLOOKUP(B33, province_power_capacity_2025_raw[province], province_power_capacity_2025_raw[combined_cycle_pp_mw], "Tidak Ada")</f>
        <v>0</v>
      </c>
      <c r="S33">
        <f>_xlfn.XLOOKUP(B33, province_power_capacity_2025_raw[province], province_power_capacity_2025_raw[gas_engine_pp_mw], "Tidak Ada")</f>
        <v>0</v>
      </c>
    </row>
    <row r="34" spans="1:19" x14ac:dyDescent="0.35">
      <c r="A34">
        <f>IFERROR(INDEX(province_power_capacity_2025_ra!$A$2:$A$38,MATCH(B34, province_power_capacity_2025_raw[province],0)),"Data Tidak Ditemukan")</f>
        <v>72</v>
      </c>
      <c r="B34" t="str">
        <f>province_power_capacity_2025_ra!B34</f>
        <v>Sulawesi Tengah</v>
      </c>
      <c r="C34">
        <f>_xlfn.XLOOKUP(B34, 'pivot and cleaned data'!$B$5:$B$43, 'pivot and cleaned data'!$L$5:$L$43, "Tidak Ditemukan")</f>
        <v>131642.51999999999</v>
      </c>
      <c r="D34">
        <f>_xlfn.XLOOKUP(B34, province_power_capacity_2025_raw[province], province_power_capacity_2025_raw[hydro_pp_mw], "Tidak Ada")</f>
        <v>581</v>
      </c>
      <c r="E34">
        <f>_xlfn.XLOOKUP(B34, province_power_capacity_2025_raw[province], province_power_capacity_2025_raw[mini_hydro_pp_mw], "Tidak Ada")</f>
        <v>57.96</v>
      </c>
      <c r="F34">
        <f>_xlfn.XLOOKUP(B34, province_power_capacity_2025_raw[province], province_power_capacity_2025_raw[micro_hydro_pp_mw], "Tidak Ada")</f>
        <v>5.84</v>
      </c>
      <c r="G34">
        <f>_xlfn.XLOOKUP(B34, province_power_capacity_2025_raw[province], province_power_capacity_2025_raw[geothermal_pp_mw], "Tidak Ada")</f>
        <v>0</v>
      </c>
      <c r="H34">
        <f>_xlfn.XLOOKUP(B34, province_power_capacity_2025_raw[province], province_power_capacity_2025_raw[solar_pp_mw], "Tidak Ada")</f>
        <v>1.19</v>
      </c>
      <c r="I34">
        <f>_xlfn.XLOOKUP(B34, province_power_capacity_2025_raw[province], province_power_capacity_2025_raw[wind_pp_mw], "Tidak Ada")</f>
        <v>0</v>
      </c>
      <c r="J34">
        <f>_xlfn.XLOOKUP(B34, province_power_capacity_2025_raw[province], province_power_capacity_2025_raw[biogas_pp_mw], "Tidak Ada")</f>
        <v>0</v>
      </c>
      <c r="K34">
        <f>_xlfn.XLOOKUP(B34, province_power_capacity_2025_raw[province], province_power_capacity_2025_raw[biomass_pp_mw], "Tidak Ada")</f>
        <v>16.77</v>
      </c>
      <c r="L34">
        <f>_xlfn.XLOOKUP(B34, province_power_capacity_2025_raw[province], province_power_capacity_2025_raw[biofuel_pp_mw], "Tidak Ada")</f>
        <v>0</v>
      </c>
      <c r="M34">
        <f>_xlfn.XLOOKUP(B34, province_power_capacity_2025_raw[province], province_power_capacity_2025_raw[waste_pp_mw], "Tidak Ada")</f>
        <v>0</v>
      </c>
      <c r="N34">
        <f>_xlfn.XLOOKUP(B34, province_power_capacity_2025_raw[province], province_power_capacity_2025_raw[diesel_pp_mw], "Tidak Ada")</f>
        <v>246.43</v>
      </c>
      <c r="O34">
        <f>_xlfn.XLOOKUP(B34, province_power_capacity_2025_raw[province], province_power_capacity_2025_raw[steam_pp_mw], "Tidak Ada")</f>
        <v>5884.6</v>
      </c>
      <c r="P34">
        <f>_xlfn.XLOOKUP(B34, province_power_capacity_2025_raw[province], province_power_capacity_2025_raw[gas_pp_mw], "Tidak Ada")</f>
        <v>66</v>
      </c>
      <c r="Q34">
        <f>_xlfn.XLOOKUP(B34, province_power_capacity_2025_raw[province], province_power_capacity_2025_raw[coal_gasification_pp_mw], "Tidak Ada")</f>
        <v>220</v>
      </c>
      <c r="R34">
        <f>_xlfn.XLOOKUP(B34, province_power_capacity_2025_raw[province], province_power_capacity_2025_raw[combined_cycle_pp_mw], "Tidak Ada")</f>
        <v>0</v>
      </c>
      <c r="S34">
        <f>_xlfn.XLOOKUP(B34, province_power_capacity_2025_raw[province], province_power_capacity_2025_raw[gas_engine_pp_mw], "Tidak Ada")</f>
        <v>47.13</v>
      </c>
    </row>
    <row r="35" spans="1:19" x14ac:dyDescent="0.35">
      <c r="A35">
        <f>IFERROR(INDEX(province_power_capacity_2025_ra!$A$2:$A$38,MATCH(B35, province_power_capacity_2025_raw[province],0)),"Data Tidak Ditemukan")</f>
        <v>74</v>
      </c>
      <c r="B35" t="str">
        <f>province_power_capacity_2025_ra!B35</f>
        <v>Sulawesi Tenggara</v>
      </c>
      <c r="C35">
        <f>_xlfn.XLOOKUP(B35, 'pivot and cleaned data'!$B$5:$B$43, 'pivot and cleaned data'!$L$5:$L$43, "Tidak Ditemukan")</f>
        <v>72031.179999999993</v>
      </c>
      <c r="D35">
        <f>_xlfn.XLOOKUP(B35, province_power_capacity_2025_raw[province], province_power_capacity_2025_raw[hydro_pp_mw], "Tidak Ada")</f>
        <v>0</v>
      </c>
      <c r="E35">
        <f>_xlfn.XLOOKUP(B35, province_power_capacity_2025_raw[province], province_power_capacity_2025_raw[mini_hydro_pp_mw], "Tidak Ada")</f>
        <v>2</v>
      </c>
      <c r="F35">
        <f>_xlfn.XLOOKUP(B35, province_power_capacity_2025_raw[province], province_power_capacity_2025_raw[micro_hydro_pp_mw], "Tidak Ada")</f>
        <v>3.7</v>
      </c>
      <c r="G35">
        <f>_xlfn.XLOOKUP(B35, province_power_capacity_2025_raw[province], province_power_capacity_2025_raw[geothermal_pp_mw], "Tidak Ada")</f>
        <v>0</v>
      </c>
      <c r="H35">
        <f>_xlfn.XLOOKUP(B35, province_power_capacity_2025_raw[province], province_power_capacity_2025_raw[solar_pp_mw], "Tidak Ada")</f>
        <v>3.95</v>
      </c>
      <c r="I35">
        <f>_xlfn.XLOOKUP(B35, province_power_capacity_2025_raw[province], province_power_capacity_2025_raw[wind_pp_mw], "Tidak Ada")</f>
        <v>0</v>
      </c>
      <c r="J35">
        <f>_xlfn.XLOOKUP(B35, province_power_capacity_2025_raw[province], province_power_capacity_2025_raw[biogas_pp_mw], "Tidak Ada")</f>
        <v>0</v>
      </c>
      <c r="K35">
        <f>_xlfn.XLOOKUP(B35, province_power_capacity_2025_raw[province], province_power_capacity_2025_raw[biomass_pp_mw], "Tidak Ada")</f>
        <v>0</v>
      </c>
      <c r="L35">
        <f>_xlfn.XLOOKUP(B35, province_power_capacity_2025_raw[province], province_power_capacity_2025_raw[biofuel_pp_mw], "Tidak Ada")</f>
        <v>0</v>
      </c>
      <c r="M35">
        <f>_xlfn.XLOOKUP(B35, province_power_capacity_2025_raw[province], province_power_capacity_2025_raw[waste_pp_mw], "Tidak Ada")</f>
        <v>0</v>
      </c>
      <c r="N35">
        <f>_xlfn.XLOOKUP(B35, province_power_capacity_2025_raw[province], province_power_capacity_2025_raw[diesel_pp_mw], "Tidak Ada")</f>
        <v>205.02</v>
      </c>
      <c r="O35">
        <f>_xlfn.XLOOKUP(B35, province_power_capacity_2025_raw[province], province_power_capacity_2025_raw[steam_pp_mw], "Tidak Ada")</f>
        <v>198</v>
      </c>
      <c r="P35">
        <f>_xlfn.XLOOKUP(B35, province_power_capacity_2025_raw[province], province_power_capacity_2025_raw[gas_pp_mw], "Tidak Ada")</f>
        <v>25</v>
      </c>
      <c r="Q35">
        <f>_xlfn.XLOOKUP(B35, province_power_capacity_2025_raw[province], province_power_capacity_2025_raw[coal_gasification_pp_mw], "Tidak Ada")</f>
        <v>0</v>
      </c>
      <c r="R35">
        <f>_xlfn.XLOOKUP(B35, province_power_capacity_2025_raw[province], province_power_capacity_2025_raw[combined_cycle_pp_mw], "Tidak Ada")</f>
        <v>0</v>
      </c>
      <c r="S35">
        <f>_xlfn.XLOOKUP(B35, province_power_capacity_2025_raw[province], province_power_capacity_2025_raw[gas_engine_pp_mw], "Tidak Ada")</f>
        <v>97.8</v>
      </c>
    </row>
    <row r="36" spans="1:19" x14ac:dyDescent="0.35">
      <c r="A36">
        <f>IFERROR(INDEX(province_power_capacity_2025_ra!$A$2:$A$38,MATCH(B36, province_power_capacity_2025_raw[province],0)),"Data Tidak Ditemukan")</f>
        <v>71</v>
      </c>
      <c r="B36" t="str">
        <f>province_power_capacity_2025_ra!B36</f>
        <v>Sulawesi Utara</v>
      </c>
      <c r="C36">
        <f>_xlfn.XLOOKUP(B36, 'pivot and cleaned data'!$B$5:$B$43, 'pivot and cleaned data'!$L$5:$L$43, "Tidak Ditemukan")</f>
        <v>75234.91</v>
      </c>
      <c r="D36">
        <f>_xlfn.XLOOKUP(B36, province_power_capacity_2025_raw[province], province_power_capacity_2025_raw[hydro_pp_mw], "Tidak Ada")</f>
        <v>0</v>
      </c>
      <c r="E36">
        <f>_xlfn.XLOOKUP(B36, province_power_capacity_2025_raw[province], province_power_capacity_2025_raw[mini_hydro_pp_mw], "Tidak Ada")</f>
        <v>61.6</v>
      </c>
      <c r="F36">
        <f>_xlfn.XLOOKUP(B36, province_power_capacity_2025_raw[province], province_power_capacity_2025_raw[micro_hydro_pp_mw], "Tidak Ada")</f>
        <v>1.86</v>
      </c>
      <c r="G36">
        <f>_xlfn.XLOOKUP(B36, province_power_capacity_2025_raw[province], province_power_capacity_2025_raw[geothermal_pp_mw], "Tidak Ada")</f>
        <v>123.72</v>
      </c>
      <c r="H36">
        <f>_xlfn.XLOOKUP(B36, province_power_capacity_2025_raw[province], province_power_capacity_2025_raw[solar_pp_mw], "Tidak Ada")</f>
        <v>23.43</v>
      </c>
      <c r="I36">
        <f>_xlfn.XLOOKUP(B36, province_power_capacity_2025_raw[province], province_power_capacity_2025_raw[wind_pp_mw], "Tidak Ada")</f>
        <v>0.08</v>
      </c>
      <c r="J36">
        <f>_xlfn.XLOOKUP(B36, province_power_capacity_2025_raw[province], province_power_capacity_2025_raw[biogas_pp_mw], "Tidak Ada")</f>
        <v>0</v>
      </c>
      <c r="K36">
        <f>_xlfn.XLOOKUP(B36, province_power_capacity_2025_raw[province], province_power_capacity_2025_raw[biomass_pp_mw], "Tidak Ada")</f>
        <v>0</v>
      </c>
      <c r="L36">
        <f>_xlfn.XLOOKUP(B36, province_power_capacity_2025_raw[province], province_power_capacity_2025_raw[biofuel_pp_mw], "Tidak Ada")</f>
        <v>0</v>
      </c>
      <c r="M36">
        <f>_xlfn.XLOOKUP(B36, province_power_capacity_2025_raw[province], province_power_capacity_2025_raw[waste_pp_mw], "Tidak Ada")</f>
        <v>0</v>
      </c>
      <c r="N36">
        <f>_xlfn.XLOOKUP(B36, province_power_capacity_2025_raw[province], province_power_capacity_2025_raw[diesel_pp_mw], "Tidak Ada")</f>
        <v>96.52</v>
      </c>
      <c r="O36">
        <f>_xlfn.XLOOKUP(B36, province_power_capacity_2025_raw[province], province_power_capacity_2025_raw[steam_pp_mw], "Tidak Ada")</f>
        <v>336</v>
      </c>
      <c r="P36">
        <f>_xlfn.XLOOKUP(B36, province_power_capacity_2025_raw[province], province_power_capacity_2025_raw[gas_pp_mw], "Tidak Ada")</f>
        <v>0</v>
      </c>
      <c r="Q36">
        <f>_xlfn.XLOOKUP(B36, province_power_capacity_2025_raw[province], province_power_capacity_2025_raw[coal_gasification_pp_mw], "Tidak Ada")</f>
        <v>0</v>
      </c>
      <c r="R36">
        <f>_xlfn.XLOOKUP(B36, province_power_capacity_2025_raw[province], province_power_capacity_2025_raw[combined_cycle_pp_mw], "Tidak Ada")</f>
        <v>0</v>
      </c>
      <c r="S36">
        <f>_xlfn.XLOOKUP(B36, province_power_capacity_2025_raw[province], province_power_capacity_2025_raw[gas_engine_pp_mw], "Tidak Ada")</f>
        <v>0</v>
      </c>
    </row>
    <row r="37" spans="1:19" x14ac:dyDescent="0.35">
      <c r="A37">
        <f>IFERROR(INDEX(province_power_capacity_2025_ra!$A$2:$A$38,MATCH(B37, province_power_capacity_2025_raw[province],0)),"Data Tidak Ditemukan")</f>
        <v>13</v>
      </c>
      <c r="B37" t="str">
        <f>province_power_capacity_2025_ra!B37</f>
        <v>Sumatera Barat</v>
      </c>
      <c r="C37">
        <f>_xlfn.XLOOKUP(B37, 'pivot and cleaned data'!$B$5:$B$43, 'pivot and cleaned data'!$L$5:$L$43, "Tidak Ditemukan")</f>
        <v>59548.83</v>
      </c>
      <c r="D37">
        <f>_xlfn.XLOOKUP(B37, province_power_capacity_2025_raw[province], province_power_capacity_2025_raw[hydro_pp_mw], "Tidak Ada")</f>
        <v>243</v>
      </c>
      <c r="E37">
        <f>_xlfn.XLOOKUP(B37, province_power_capacity_2025_raw[province], province_power_capacity_2025_raw[mini_hydro_pp_mw], "Tidak Ada")</f>
        <v>78.739999999999995</v>
      </c>
      <c r="F37">
        <f>_xlfn.XLOOKUP(B37, province_power_capacity_2025_raw[province], province_power_capacity_2025_raw[micro_hydro_pp_mw], "Tidak Ada")</f>
        <v>1.95</v>
      </c>
      <c r="G37">
        <f>_xlfn.XLOOKUP(B37, province_power_capacity_2025_raw[province], province_power_capacity_2025_raw[geothermal_pp_mw], "Tidak Ada")</f>
        <v>89.25</v>
      </c>
      <c r="H37">
        <f>_xlfn.XLOOKUP(B37, province_power_capacity_2025_raw[province], province_power_capacity_2025_raw[solar_pp_mw], "Tidak Ada")</f>
        <v>3.38</v>
      </c>
      <c r="I37">
        <f>_xlfn.XLOOKUP(B37, province_power_capacity_2025_raw[province], province_power_capacity_2025_raw[wind_pp_mw], "Tidak Ada")</f>
        <v>0</v>
      </c>
      <c r="J37">
        <f>_xlfn.XLOOKUP(B37, province_power_capacity_2025_raw[province], province_power_capacity_2025_raw[biogas_pp_mw], "Tidak Ada")</f>
        <v>1.7</v>
      </c>
      <c r="K37">
        <f>_xlfn.XLOOKUP(B37, province_power_capacity_2025_raw[province], province_power_capacity_2025_raw[biomass_pp_mw], "Tidak Ada")</f>
        <v>81.27</v>
      </c>
      <c r="L37">
        <f>_xlfn.XLOOKUP(B37, province_power_capacity_2025_raw[province], province_power_capacity_2025_raw[biofuel_pp_mw], "Tidak Ada")</f>
        <v>0</v>
      </c>
      <c r="M37">
        <f>_xlfn.XLOOKUP(B37, province_power_capacity_2025_raw[province], province_power_capacity_2025_raw[waste_pp_mw], "Tidak Ada")</f>
        <v>0</v>
      </c>
      <c r="N37">
        <f>_xlfn.XLOOKUP(B37, province_power_capacity_2025_raw[province], province_power_capacity_2025_raw[diesel_pp_mw], "Tidak Ada")</f>
        <v>20.29</v>
      </c>
      <c r="O37">
        <f>_xlfn.XLOOKUP(B37, province_power_capacity_2025_raw[province], province_power_capacity_2025_raw[steam_pp_mw], "Tidak Ada")</f>
        <v>432.5</v>
      </c>
      <c r="P37">
        <f>_xlfn.XLOOKUP(B37, province_power_capacity_2025_raw[province], province_power_capacity_2025_raw[gas_pp_mw], "Tidak Ada")</f>
        <v>64.5</v>
      </c>
      <c r="Q37">
        <f>_xlfn.XLOOKUP(B37, province_power_capacity_2025_raw[province], province_power_capacity_2025_raw[coal_gasification_pp_mw], "Tidak Ada")</f>
        <v>0</v>
      </c>
      <c r="R37">
        <f>_xlfn.XLOOKUP(B37, province_power_capacity_2025_raw[province], province_power_capacity_2025_raw[combined_cycle_pp_mw], "Tidak Ada")</f>
        <v>0</v>
      </c>
      <c r="S37">
        <f>_xlfn.XLOOKUP(B37, province_power_capacity_2025_raw[province], province_power_capacity_2025_raw[gas_engine_pp_mw], "Tidak Ada")</f>
        <v>0</v>
      </c>
    </row>
    <row r="38" spans="1:19" x14ac:dyDescent="0.35">
      <c r="A38">
        <f>IFERROR(INDEX(province_power_capacity_2025_ra!$A$2:$A$38,MATCH(B38, province_power_capacity_2025_raw[province],0)),"Data Tidak Ditemukan")</f>
        <v>16</v>
      </c>
      <c r="B38" t="str">
        <f>province_power_capacity_2025_ra!B38</f>
        <v>Sumatera Selatan</v>
      </c>
      <c r="C38">
        <f>_xlfn.XLOOKUP(B38, 'pivot and cleaned data'!$B$5:$B$43, 'pivot and cleaned data'!$L$5:$L$43, "Tidak Ditemukan")</f>
        <v>80663.490000000005</v>
      </c>
      <c r="D38">
        <f>_xlfn.XLOOKUP(B38, province_power_capacity_2025_raw[province], province_power_capacity_2025_raw[hydro_pp_mw], "Tidak Ada")</f>
        <v>0</v>
      </c>
      <c r="E38">
        <f>_xlfn.XLOOKUP(B38, province_power_capacity_2025_raw[province], province_power_capacity_2025_raw[mini_hydro_pp_mw], "Tidak Ada")</f>
        <v>21.01</v>
      </c>
      <c r="F38">
        <f>_xlfn.XLOOKUP(B38, province_power_capacity_2025_raw[province], province_power_capacity_2025_raw[micro_hydro_pp_mw], "Tidak Ada")</f>
        <v>0.36</v>
      </c>
      <c r="G38">
        <f>_xlfn.XLOOKUP(B38, province_power_capacity_2025_raw[province], province_power_capacity_2025_raw[geothermal_pp_mw], "Tidak Ada")</f>
        <v>213.33</v>
      </c>
      <c r="H38">
        <f>_xlfn.XLOOKUP(B38, province_power_capacity_2025_raw[province], province_power_capacity_2025_raw[solar_pp_mw], "Tidak Ada")</f>
        <v>13.57</v>
      </c>
      <c r="I38">
        <f>_xlfn.XLOOKUP(B38, province_power_capacity_2025_raw[province], province_power_capacity_2025_raw[wind_pp_mw], "Tidak Ada")</f>
        <v>0</v>
      </c>
      <c r="J38">
        <f>_xlfn.XLOOKUP(B38, province_power_capacity_2025_raw[province], province_power_capacity_2025_raw[biogas_pp_mw], "Tidak Ada")</f>
        <v>16.16</v>
      </c>
      <c r="K38">
        <f>_xlfn.XLOOKUP(B38, province_power_capacity_2025_raw[province], province_power_capacity_2025_raw[biomass_pp_mw], "Tidak Ada")</f>
        <v>822.13</v>
      </c>
      <c r="L38">
        <f>_xlfn.XLOOKUP(B38, province_power_capacity_2025_raw[province], province_power_capacity_2025_raw[biofuel_pp_mw], "Tidak Ada")</f>
        <v>0</v>
      </c>
      <c r="M38">
        <f>_xlfn.XLOOKUP(B38, province_power_capacity_2025_raw[province], province_power_capacity_2025_raw[waste_pp_mw], "Tidak Ada")</f>
        <v>0</v>
      </c>
      <c r="N38">
        <f>_xlfn.XLOOKUP(B38, province_power_capacity_2025_raw[province], province_power_capacity_2025_raw[diesel_pp_mw], "Tidak Ada")</f>
        <v>46.84</v>
      </c>
      <c r="O38">
        <f>_xlfn.XLOOKUP(B38, province_power_capacity_2025_raw[province], province_power_capacity_2025_raw[steam_pp_mw], "Tidak Ada")</f>
        <v>3256.44</v>
      </c>
      <c r="P38">
        <f>_xlfn.XLOOKUP(B38, province_power_capacity_2025_raw[province], province_power_capacity_2025_raw[gas_pp_mw], "Tidak Ada")</f>
        <v>281.20999999999998</v>
      </c>
      <c r="Q38">
        <f>_xlfn.XLOOKUP(B38, province_power_capacity_2025_raw[province], province_power_capacity_2025_raw[coal_gasification_pp_mw], "Tidak Ada")</f>
        <v>0</v>
      </c>
      <c r="R38">
        <f>_xlfn.XLOOKUP(B38, province_power_capacity_2025_raw[province], province_power_capacity_2025_raw[combined_cycle_pp_mw], "Tidak Ada")</f>
        <v>537.42999999999995</v>
      </c>
      <c r="S38">
        <f>_xlfn.XLOOKUP(B38, province_power_capacity_2025_raw[province], province_power_capacity_2025_raw[gas_engine_pp_mw], "Tidak Ada")</f>
        <v>36.83</v>
      </c>
    </row>
    <row r="39" spans="1:19" x14ac:dyDescent="0.35">
      <c r="A39">
        <f>IFERROR(INDEX(province_power_capacity_2025_ra!$A$2:$A$39,MATCH(B39, province_power_capacity_2025_raw[province],0)),"Data Tidak Ditemukan")</f>
        <v>12</v>
      </c>
      <c r="B39" t="str">
        <f>province_power_capacity_2025_ra!B39</f>
        <v>Sumatera Utara</v>
      </c>
      <c r="C39">
        <f>_xlfn.XLOOKUP(B39, 'pivot and cleaned data'!$B$5:$B$43, 'pivot and cleaned data'!$L$5:$L$43, "Tidak Ditemukan")</f>
        <v>78310.289999999994</v>
      </c>
      <c r="D39">
        <f>_xlfn.XLOOKUP(B39, province_power_capacity_2025_raw[province], province_power_capacity_2025_raw[hydro_pp_mw], "Tidak Ada")</f>
        <v>1195.55</v>
      </c>
      <c r="E39">
        <f>_xlfn.XLOOKUP(B39, province_power_capacity_2025_raw[province], province_power_capacity_2025_raw[mini_hydro_pp_mw], "Tidak Ada")</f>
        <v>18.5</v>
      </c>
      <c r="F39">
        <f>_xlfn.XLOOKUP(B39, province_power_capacity_2025_raw[province], province_power_capacity_2025_raw[micro_hydro_pp_mw], "Tidak Ada")</f>
        <v>183.98</v>
      </c>
      <c r="G39">
        <f>_xlfn.XLOOKUP(B39, province_power_capacity_2025_raw[province], province_power_capacity_2025_raw[geothermal_pp_mw], "Tidak Ada")</f>
        <v>710.54</v>
      </c>
      <c r="H39">
        <f>_xlfn.XLOOKUP(B39, province_power_capacity_2025_raw[province], province_power_capacity_2025_raw[solar_pp_mw], "Tidak Ada")</f>
        <v>17.34</v>
      </c>
      <c r="I39">
        <f>_xlfn.XLOOKUP(B39, province_power_capacity_2025_raw[province], province_power_capacity_2025_raw[wind_pp_mw], "Tidak Ada")</f>
        <v>0</v>
      </c>
      <c r="J39">
        <f>_xlfn.XLOOKUP(B39, province_power_capacity_2025_raw[province], province_power_capacity_2025_raw[biogas_pp_mw], "Tidak Ada")</f>
        <v>23.27</v>
      </c>
      <c r="K39">
        <f>_xlfn.XLOOKUP(B39, province_power_capacity_2025_raw[province], province_power_capacity_2025_raw[biomass_pp_mw], "Tidak Ada")</f>
        <v>374.91</v>
      </c>
      <c r="L39">
        <f>_xlfn.XLOOKUP(B39, province_power_capacity_2025_raw[province], province_power_capacity_2025_raw[biofuel_pp_mw], "Tidak Ada")</f>
        <v>0</v>
      </c>
      <c r="M39">
        <f>_xlfn.XLOOKUP(B39, province_power_capacity_2025_raw[province], province_power_capacity_2025_raw[waste_pp_mw], "Tidak Ada")</f>
        <v>0</v>
      </c>
      <c r="N39">
        <f>_xlfn.XLOOKUP(B39, province_power_capacity_2025_raw[province], province_power_capacity_2025_raw[diesel_pp_mw], "Tidak Ada")</f>
        <v>190.44</v>
      </c>
      <c r="O39">
        <f>_xlfn.XLOOKUP(B39, province_power_capacity_2025_raw[province], province_power_capacity_2025_raw[steam_pp_mw], "Tidak Ada")</f>
        <v>1349</v>
      </c>
      <c r="P39">
        <f>_xlfn.XLOOKUP(B39, province_power_capacity_2025_raw[province], province_power_capacity_2025_raw[gas_pp_mw], "Tidak Ada")</f>
        <v>219.26</v>
      </c>
      <c r="Q39">
        <f>_xlfn.XLOOKUP(B39, province_power_capacity_2025_raw[province], province_power_capacity_2025_raw[coal_gasification_pp_mw], "Tidak Ada")</f>
        <v>0</v>
      </c>
      <c r="R39">
        <f>_xlfn.XLOOKUP(B39, province_power_capacity_2025_raw[province], province_power_capacity_2025_raw[combined_cycle_pp_mw], "Tidak Ada")</f>
        <v>817.88</v>
      </c>
      <c r="S39">
        <f>_xlfn.XLOOKUP(B39, province_power_capacity_2025_raw[province], province_power_capacity_2025_raw[gas_engine_pp_mw], "Tidak Ada")</f>
        <v>34.5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01A09-3BAA-4A98-BA9E-2D5C28B75921}">
  <dimension ref="A1"/>
  <sheetViews>
    <sheetView tabSelected="1" zoomScale="55" zoomScaleNormal="70" workbookViewId="0">
      <selection activeCell="Y20" sqref="Y20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23025-232E-4586-B550-006838B94E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OWID (ID)</vt:lpstr>
      <vt:lpstr>province_power_capacity_2025_ra</vt:lpstr>
      <vt:lpstr>province_geothermal_reserves_20</vt:lpstr>
      <vt:lpstr>province_coal_reserves_2025_raw</vt:lpstr>
      <vt:lpstr>pivot and cleaned data</vt:lpstr>
      <vt:lpstr>Final Results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Syaoqi</cp:lastModifiedBy>
  <dcterms:created xsi:type="dcterms:W3CDTF">2026-08-22T09:15:33Z</dcterms:created>
  <dcterms:modified xsi:type="dcterms:W3CDTF">2026-08-29T09:29:32Z</dcterms:modified>
</cp:coreProperties>
</file>